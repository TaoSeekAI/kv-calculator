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firstSheet="3" activeTab="2"/>
  </bookViews>
  <sheets>
    <sheet name="液体" sheetId="27" state="hidden" r:id="rId1"/>
    <sheet name="可压缩 (4)" sheetId="32" state="hidden" r:id="rId2"/>
    <sheet name="Kv计算" sheetId="34" r:id="rId3"/>
    <sheet name="气体噪音计算" sheetId="36" r:id="rId4"/>
    <sheet name="液体噪音计算" sheetId="40" r:id="rId5"/>
    <sheet name="管道规格表" sheetId="35" r:id="rId6"/>
  </sheets>
  <definedNames>
    <definedName name="_xlnm._FilterDatabase" localSheetId="2" hidden="1">Kv计算!$A$1:$F$78</definedName>
    <definedName name="_xlnm._FilterDatabase" localSheetId="1" hidden="1">'可压缩 (4)'!$A$1:$HK$1</definedName>
    <definedName name="_xlnm.Print_Area" localSheetId="2">Kv计算!#REF!</definedName>
    <definedName name="_xlnm.Print_Area" localSheetId="1">'可压缩 (4)'!#REF!</definedName>
    <definedName name="_xlnm.Print_Area" localSheetId="0">液体!#REF!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zhujx</author>
  </authors>
  <commentList>
    <comment ref="B35" authorId="0">
      <text>
        <r>
          <rPr>
            <b/>
            <sz val="9"/>
            <rFont val="Tahoma"/>
            <charset val="134"/>
          </rPr>
          <t>zhujx:</t>
        </r>
        <r>
          <rPr>
            <sz val="9"/>
            <rFont val="Tahoma"/>
            <charset val="134"/>
          </rPr>
          <t xml:space="preserve">
</t>
        </r>
        <r>
          <rPr>
            <sz val="9"/>
            <rFont val="宋体"/>
            <charset val="134"/>
          </rPr>
          <t>影响结果的关键因素</t>
        </r>
      </text>
    </comment>
    <comment ref="B37" authorId="0">
      <text>
        <r>
          <rPr>
            <b/>
            <sz val="9"/>
            <rFont val="Tahoma"/>
            <charset val="134"/>
          </rPr>
          <t>zhujx:</t>
        </r>
        <r>
          <rPr>
            <sz val="9"/>
            <rFont val="Tahoma"/>
            <charset val="134"/>
          </rPr>
          <t xml:space="preserve">
</t>
        </r>
        <r>
          <rPr>
            <sz val="9"/>
            <rFont val="宋体"/>
            <charset val="134"/>
          </rPr>
          <t>影响结果的关键因素</t>
        </r>
      </text>
    </comment>
  </commentList>
</comments>
</file>

<file path=xl/sharedStrings.xml><?xml version="1.0" encoding="utf-8"?>
<sst xmlns="http://schemas.openxmlformats.org/spreadsheetml/2006/main" count="1728" uniqueCount="717">
  <si>
    <t>符号</t>
  </si>
  <si>
    <t>名称</t>
  </si>
  <si>
    <t>单位</t>
  </si>
  <si>
    <t>公式</t>
  </si>
  <si>
    <t>结果</t>
  </si>
  <si>
    <t>工艺参数</t>
  </si>
  <si>
    <t>T</t>
  </si>
  <si>
    <t>介质温度</t>
  </si>
  <si>
    <t>℃</t>
  </si>
  <si>
    <t>设计给定</t>
  </si>
  <si>
    <t>Q</t>
  </si>
  <si>
    <t>体积流量</t>
  </si>
  <si>
    <t>m3/h</t>
  </si>
  <si>
    <t>P1</t>
  </si>
  <si>
    <t>阀前压力</t>
  </si>
  <si>
    <t>KPa</t>
  </si>
  <si>
    <t>P2</t>
  </si>
  <si>
    <t>阀后压力</t>
  </si>
  <si>
    <t>ΔP</t>
  </si>
  <si>
    <t>阀前后压差</t>
  </si>
  <si>
    <t>ΔP=P1-P2</t>
  </si>
  <si>
    <t>ρ1</t>
  </si>
  <si>
    <t>在P1和T1时的流体密度</t>
  </si>
  <si>
    <t>Kg/m3</t>
  </si>
  <si>
    <t>ρ1/ρ0</t>
  </si>
  <si>
    <t>相对密度（比重）</t>
  </si>
  <si>
    <t>比重</t>
  </si>
  <si>
    <t>ν</t>
  </si>
  <si>
    <t>运动粘度</t>
  </si>
  <si>
    <t>m2/s</t>
  </si>
  <si>
    <t>PC</t>
  </si>
  <si>
    <t>绝对热力学临界压力</t>
  </si>
  <si>
    <t>MPa</t>
  </si>
  <si>
    <t>Pr</t>
  </si>
  <si>
    <t>对比压力</t>
  </si>
  <si>
    <t>Pr=P1/Pc</t>
  </si>
  <si>
    <t>Pv</t>
  </si>
  <si>
    <t>入口温度下液体蒸汽的绝对压力</t>
  </si>
  <si>
    <t>T1</t>
  </si>
  <si>
    <t>入口绝对温度</t>
  </si>
  <si>
    <t>K</t>
  </si>
  <si>
    <t>T1=T+273.15</t>
  </si>
  <si>
    <t>Tc</t>
  </si>
  <si>
    <t>绝对热力学临界温度</t>
  </si>
  <si>
    <t>不可压缩流体（液体）Kv计算</t>
  </si>
  <si>
    <t>C1</t>
  </si>
  <si>
    <r>
      <rPr>
        <sz val="10"/>
        <color theme="1"/>
        <rFont val="宋体"/>
        <charset val="134"/>
        <scheme val="minor"/>
      </rPr>
      <t>ΔP&lt;FL</t>
    </r>
    <r>
      <rPr>
        <vertAlign val="superscript"/>
        <sz val="10"/>
        <color rgb="FF000000"/>
        <rFont val="宋体"/>
        <charset val="134"/>
      </rPr>
      <t>2</t>
    </r>
    <r>
      <rPr>
        <sz val="10"/>
        <color rgb="FF000000"/>
        <rFont val="宋体"/>
        <charset val="134"/>
      </rPr>
      <t>(P1-F</t>
    </r>
    <r>
      <rPr>
        <vertAlign val="subscript"/>
        <sz val="10"/>
        <color rgb="FF000000"/>
        <rFont val="宋体"/>
        <charset val="134"/>
      </rPr>
      <t>F</t>
    </r>
    <r>
      <rPr>
        <sz val="10"/>
        <color rgb="FF000000"/>
        <rFont val="宋体"/>
        <charset val="134"/>
      </rPr>
      <t>P</t>
    </r>
    <r>
      <rPr>
        <vertAlign val="subscript"/>
        <sz val="10"/>
        <color rgb="FF000000"/>
        <rFont val="宋体"/>
        <charset val="134"/>
      </rPr>
      <t>V</t>
    </r>
    <r>
      <rPr>
        <sz val="10"/>
        <color rgb="FF000000"/>
        <rFont val="宋体"/>
        <charset val="134"/>
      </rPr>
      <t>)时，非阻塞流，无接管</t>
    </r>
  </si>
  <si>
    <t>C2</t>
  </si>
  <si>
    <r>
      <rPr>
        <sz val="10"/>
        <color theme="1"/>
        <rFont val="宋体"/>
        <charset val="134"/>
        <scheme val="minor"/>
      </rPr>
      <t>ΔP&lt;</t>
    </r>
    <r>
      <rPr>
        <sz val="10"/>
        <color rgb="FF000000"/>
        <rFont val="宋体"/>
        <charset val="134"/>
      </rPr>
      <t>[(F</t>
    </r>
    <r>
      <rPr>
        <vertAlign val="subscript"/>
        <sz val="10"/>
        <color rgb="FF000000"/>
        <rFont val="宋体"/>
        <charset val="134"/>
      </rPr>
      <t>LP</t>
    </r>
    <r>
      <rPr>
        <sz val="10"/>
        <color rgb="FF000000"/>
        <rFont val="宋体"/>
        <charset val="134"/>
      </rPr>
      <t>/F</t>
    </r>
    <r>
      <rPr>
        <vertAlign val="subscript"/>
        <sz val="10"/>
        <color rgb="FF000000"/>
        <rFont val="宋体"/>
        <charset val="134"/>
      </rPr>
      <t>P</t>
    </r>
    <r>
      <rPr>
        <sz val="10"/>
        <color rgb="FF000000"/>
        <rFont val="宋体"/>
        <charset val="134"/>
      </rPr>
      <t>)</t>
    </r>
    <r>
      <rPr>
        <vertAlign val="superscript"/>
        <sz val="10"/>
        <color rgb="FF000000"/>
        <rFont val="宋体"/>
        <charset val="134"/>
      </rPr>
      <t>2</t>
    </r>
    <r>
      <rPr>
        <sz val="10"/>
        <color rgb="FF000000"/>
        <rFont val="宋体"/>
        <charset val="134"/>
      </rPr>
      <t>(P1-FFPV)]时，非阻塞流，带接管</t>
    </r>
  </si>
  <si>
    <t>C3</t>
  </si>
  <si>
    <r>
      <rPr>
        <sz val="10"/>
        <rFont val="宋体"/>
        <charset val="134"/>
        <scheme val="minor"/>
      </rPr>
      <t>ΔP</t>
    </r>
    <r>
      <rPr>
        <sz val="10"/>
        <rFont val="宋体"/>
        <charset val="134"/>
      </rPr>
      <t>≥FL2(P1-FFPV)时，阻塞流</t>
    </r>
    <r>
      <rPr>
        <sz val="10"/>
        <rFont val="宋体"/>
        <charset val="134"/>
        <scheme val="minor"/>
      </rPr>
      <t xml:space="preserve"> 无接管</t>
    </r>
  </si>
  <si>
    <t>C4</t>
  </si>
  <si>
    <r>
      <rPr>
        <sz val="10"/>
        <color theme="1"/>
        <rFont val="宋体"/>
        <charset val="134"/>
        <scheme val="minor"/>
      </rPr>
      <t>ΔP</t>
    </r>
    <r>
      <rPr>
        <sz val="10"/>
        <color indexed="8"/>
        <rFont val="宋体"/>
        <charset val="134"/>
      </rPr>
      <t>≥[(F</t>
    </r>
    <r>
      <rPr>
        <vertAlign val="subscript"/>
        <sz val="10"/>
        <color indexed="8"/>
        <rFont val="宋体"/>
        <charset val="134"/>
      </rPr>
      <t>LP</t>
    </r>
    <r>
      <rPr>
        <sz val="10"/>
        <color indexed="8"/>
        <rFont val="宋体"/>
        <charset val="134"/>
      </rPr>
      <t>/F</t>
    </r>
    <r>
      <rPr>
        <vertAlign val="subscript"/>
        <sz val="10"/>
        <color indexed="8"/>
        <rFont val="宋体"/>
        <charset val="134"/>
      </rPr>
      <t>P</t>
    </r>
    <r>
      <rPr>
        <sz val="10"/>
        <color indexed="8"/>
        <rFont val="宋体"/>
        <charset val="134"/>
      </rPr>
      <t>)</t>
    </r>
    <r>
      <rPr>
        <vertAlign val="superscript"/>
        <sz val="10"/>
        <color indexed="8"/>
        <rFont val="宋体"/>
        <charset val="134"/>
      </rPr>
      <t>2</t>
    </r>
    <r>
      <rPr>
        <sz val="10"/>
        <color indexed="8"/>
        <rFont val="宋体"/>
        <charset val="134"/>
      </rPr>
      <t>(P1-F</t>
    </r>
    <r>
      <rPr>
        <vertAlign val="subscript"/>
        <sz val="10"/>
        <color indexed="8"/>
        <rFont val="宋体"/>
        <charset val="134"/>
      </rPr>
      <t>F</t>
    </r>
    <r>
      <rPr>
        <sz val="10"/>
        <color indexed="8"/>
        <rFont val="宋体"/>
        <charset val="134"/>
      </rPr>
      <t>P</t>
    </r>
    <r>
      <rPr>
        <vertAlign val="subscript"/>
        <sz val="10"/>
        <color indexed="8"/>
        <rFont val="宋体"/>
        <charset val="134"/>
      </rPr>
      <t>V</t>
    </r>
    <r>
      <rPr>
        <sz val="10"/>
        <color indexed="8"/>
        <rFont val="宋体"/>
        <charset val="134"/>
      </rPr>
      <t>)]时，阻塞流，带接管</t>
    </r>
  </si>
  <si>
    <t>C5</t>
  </si>
  <si>
    <t>非紊流（层流和过渡流）时</t>
  </si>
  <si>
    <t>C</t>
  </si>
  <si>
    <t>流量系数Kv，Cv</t>
  </si>
  <si>
    <t>Ci</t>
  </si>
  <si>
    <t>用于反复计算的假定流量系数</t>
  </si>
  <si>
    <t>Ci=1.3C</t>
  </si>
  <si>
    <t>V</t>
  </si>
  <si>
    <t>出口流速</t>
  </si>
  <si>
    <t>m/s</t>
  </si>
  <si>
    <t>dB</t>
  </si>
  <si>
    <t>噪音</t>
  </si>
  <si>
    <t>dBA</t>
  </si>
  <si>
    <t>流体状态</t>
  </si>
  <si>
    <t>阻塞流、非阻塞流</t>
  </si>
  <si>
    <t>FL</t>
  </si>
  <si>
    <t>无附接管件控制阀的液体压力恢复系数</t>
  </si>
  <si>
    <t>FP</t>
  </si>
  <si>
    <t>管道几何形状系数</t>
  </si>
  <si>
    <t>FLP</t>
  </si>
  <si>
    <t>带附接管件控制阀的液体压力恢复系数和管道几何形状系数的复合系数</t>
  </si>
  <si>
    <t>FF</t>
  </si>
  <si>
    <t>液体临界压力比系数</t>
  </si>
  <si>
    <t>开度计算</t>
  </si>
  <si>
    <t>等百</t>
  </si>
  <si>
    <t>%</t>
  </si>
  <si>
    <t>线性</t>
  </si>
  <si>
    <t>快开</t>
  </si>
  <si>
    <t>m</t>
  </si>
  <si>
    <t>尺寸规格</t>
  </si>
  <si>
    <t>d</t>
  </si>
  <si>
    <t>公称通径</t>
  </si>
  <si>
    <t>mm</t>
  </si>
  <si>
    <t>D</t>
  </si>
  <si>
    <t>管道内径</t>
  </si>
  <si>
    <t>R</t>
  </si>
  <si>
    <t>固有可调比-等百分比</t>
  </si>
  <si>
    <t>固有可调比-线性、快开</t>
  </si>
  <si>
    <t>Kv</t>
  </si>
  <si>
    <t>额定Kv</t>
  </si>
  <si>
    <t>D1</t>
  </si>
  <si>
    <t>上游管道内径</t>
  </si>
  <si>
    <t>D1=D3-DT1</t>
  </si>
  <si>
    <t>D2</t>
  </si>
  <si>
    <t>下游管道内径</t>
  </si>
  <si>
    <t>D1=D4-DT2</t>
  </si>
  <si>
    <t>D3</t>
  </si>
  <si>
    <t>上游管道外径</t>
  </si>
  <si>
    <t>D4</t>
  </si>
  <si>
    <t>下游管道外径</t>
  </si>
  <si>
    <t>DT1</t>
  </si>
  <si>
    <t>管道壁厚</t>
  </si>
  <si>
    <t>DT2</t>
  </si>
  <si>
    <t>D0</t>
  </si>
  <si>
    <t>节流孔直径 (阀座直径)</t>
  </si>
  <si>
    <t>Fd</t>
  </si>
  <si>
    <t>控制阀类型修正系数</t>
  </si>
  <si>
    <t>Fd1</t>
  </si>
  <si>
    <t>Ci/d2&gt;0.16N18</t>
  </si>
  <si>
    <t>Fd2</t>
  </si>
  <si>
    <t>Ci/d2&lt;0.16N18</t>
  </si>
  <si>
    <t>Fd3</t>
  </si>
  <si>
    <t>dH</t>
  </si>
  <si>
    <t>单流路的水力直径</t>
  </si>
  <si>
    <t>do</t>
  </si>
  <si>
    <t>总流路面积的等效直径</t>
  </si>
  <si>
    <t>Ao</t>
  </si>
  <si>
    <t>单流路的缩流断面的面积</t>
  </si>
  <si>
    <t>lw</t>
  </si>
  <si>
    <t>单流路的浸润周长</t>
  </si>
  <si>
    <t>ζ</t>
  </si>
  <si>
    <t>控制阀或阀内件附接渐缩管、渐扩管或其它管件时的速度头损失系数</t>
  </si>
  <si>
    <t>ζ1</t>
  </si>
  <si>
    <t>管件上游速度头损失系数</t>
  </si>
  <si>
    <t>ζ2</t>
  </si>
  <si>
    <t>管件下游速度头损失系数</t>
  </si>
  <si>
    <t>ζB1</t>
  </si>
  <si>
    <t>入口的伯努利系数</t>
  </si>
  <si>
    <t>ζB2</t>
  </si>
  <si>
    <t>出口的伯努利系数</t>
  </si>
  <si>
    <t>FR</t>
  </si>
  <si>
    <t>雷诺数系数</t>
  </si>
  <si>
    <t>Rev</t>
  </si>
  <si>
    <t>雷诺数</t>
  </si>
  <si>
    <t>FR1</t>
  </si>
  <si>
    <t>过渡流状态-雷诺数系数</t>
  </si>
  <si>
    <t>FR2</t>
  </si>
  <si>
    <t>层流状态-雷诺数系数-≤1</t>
  </si>
  <si>
    <t>n1</t>
  </si>
  <si>
    <t>n2</t>
  </si>
  <si>
    <t>FR3</t>
  </si>
  <si>
    <t>FR4</t>
  </si>
  <si>
    <t>Fγ</t>
  </si>
  <si>
    <t>比热比系数</t>
  </si>
  <si>
    <t>M</t>
  </si>
  <si>
    <t>流体分子量</t>
  </si>
  <si>
    <t>Kg/Kmol</t>
  </si>
  <si>
    <t>Tr</t>
  </si>
  <si>
    <t>对比温度（T1/Tc）</t>
  </si>
  <si>
    <t>ty</t>
  </si>
  <si>
    <t>标准条件下的绝对参比温度</t>
  </si>
  <si>
    <t>W</t>
  </si>
  <si>
    <t>质量流量-气体</t>
  </si>
  <si>
    <t>Kg/h</t>
  </si>
  <si>
    <t>χ</t>
  </si>
  <si>
    <t>压差与入口绝对压力之比（ΔP/P1）</t>
  </si>
  <si>
    <t>χT</t>
  </si>
  <si>
    <t>阻塞流条件下无附接管件的压差比系数</t>
  </si>
  <si>
    <t>实验确定</t>
  </si>
  <si>
    <t>χTP</t>
  </si>
  <si>
    <t>阻塞流条件下有附接管件的压差比系数</t>
  </si>
  <si>
    <t>Y</t>
  </si>
  <si>
    <t>膨胀系数</t>
  </si>
  <si>
    <t>Z</t>
  </si>
  <si>
    <t>压缩系数</t>
  </si>
  <si>
    <t>γ</t>
  </si>
  <si>
    <t>比热比</t>
  </si>
  <si>
    <t>Ci/d2</t>
  </si>
  <si>
    <t>ρ2</t>
  </si>
  <si>
    <t>气体密度传化计算</t>
  </si>
  <si>
    <t>Nm3/m3</t>
  </si>
  <si>
    <t>ρ3</t>
  </si>
  <si>
    <t>双向流气体密度传化计算</t>
  </si>
  <si>
    <t>N1</t>
  </si>
  <si>
    <t>数字常数，Kv计算系数，见表1
（压力定位按KPa选取）</t>
  </si>
  <si>
    <t>N2</t>
  </si>
  <si>
    <t>N4</t>
  </si>
  <si>
    <t>N5</t>
  </si>
  <si>
    <t>N6</t>
  </si>
  <si>
    <t>N8</t>
  </si>
  <si>
    <t>N9 t=0℃</t>
  </si>
  <si>
    <t>N9 t=15℃</t>
  </si>
  <si>
    <t>N17</t>
  </si>
  <si>
    <t>N18</t>
  </si>
  <si>
    <t>N19</t>
  </si>
  <si>
    <t>N22 t=0℃</t>
  </si>
  <si>
    <t>N22 t=15℃</t>
  </si>
  <si>
    <t>N27</t>
  </si>
  <si>
    <t>N32</t>
  </si>
  <si>
    <t>N23</t>
  </si>
  <si>
    <t>N26</t>
  </si>
  <si>
    <t>N31</t>
  </si>
  <si>
    <t>流量单位转换公式</t>
  </si>
  <si>
    <t>Q1</t>
  </si>
  <si>
    <t>液体</t>
  </si>
  <si>
    <t>Kg/s转m3/h</t>
  </si>
  <si>
    <t>饱和蒸汽压计算公式</t>
  </si>
  <si>
    <t>A</t>
  </si>
  <si>
    <t>系数设计给定</t>
  </si>
  <si>
    <t>B</t>
  </si>
  <si>
    <t>P</t>
  </si>
  <si>
    <t>饱和蒸气压</t>
  </si>
  <si>
    <t>t</t>
  </si>
  <si>
    <t>饱和温度</t>
  </si>
  <si>
    <t>管道概况</t>
  </si>
  <si>
    <t>进口管道规格</t>
  </si>
  <si>
    <t>需要做一个英寸和mm的对照表</t>
  </si>
  <si>
    <t>D1w</t>
  </si>
  <si>
    <t>进口管道外径</t>
  </si>
  <si>
    <t>D1T</t>
  </si>
  <si>
    <t>进口管道壁厚</t>
  </si>
  <si>
    <t>出口管道规格</t>
  </si>
  <si>
    <t>D2w</t>
  </si>
  <si>
    <t>出口管道外径</t>
  </si>
  <si>
    <t>D2T</t>
  </si>
  <si>
    <t>出口管道壁厚</t>
  </si>
  <si>
    <t>流体属性</t>
  </si>
  <si>
    <t>蒸汽</t>
  </si>
  <si>
    <t>液体温度不能高于饱和温度，否则会报错</t>
  </si>
  <si>
    <t>单位选择</t>
  </si>
  <si>
    <t>气体、液体、蒸汽流量</t>
  </si>
  <si>
    <t>两相流气体或蒸汽流量换算</t>
  </si>
  <si>
    <t>ρ</t>
  </si>
  <si>
    <t>气体、液体、蒸汽、两相流液 体密度</t>
  </si>
  <si>
    <t>两相流气体（蒸汽） 密度</t>
  </si>
  <si>
    <t>ρ/ρ0</t>
  </si>
  <si>
    <t>分子量</t>
  </si>
  <si>
    <t>气体计算用</t>
  </si>
  <si>
    <t>气体计算用，空气为1.4</t>
  </si>
  <si>
    <t>粘度</t>
  </si>
  <si>
    <t>运动粘度 v
动力粘度 u</t>
  </si>
  <si>
    <t>粘度类型</t>
  </si>
  <si>
    <t>动力粘度 u</t>
  </si>
  <si>
    <r>
      <rPr>
        <b/>
        <sz val="14"/>
        <color rgb="FFFF0000"/>
        <rFont val="宋体"/>
        <charset val="134"/>
      </rPr>
      <t>未提供参数时，需要设置默认值，或含20℃的水1.005*10</t>
    </r>
    <r>
      <rPr>
        <b/>
        <vertAlign val="superscript"/>
        <sz val="14"/>
        <color rgb="FFFF0000"/>
        <rFont val="宋体"/>
        <charset val="134"/>
      </rPr>
      <t>-6</t>
    </r>
    <r>
      <rPr>
        <b/>
        <sz val="14"/>
        <color rgb="FFFF0000"/>
        <rFont val="宋体"/>
        <charset val="134"/>
      </rPr>
      <t>mPa.S</t>
    </r>
  </si>
  <si>
    <t>粘度单位</t>
  </si>
  <si>
    <t>cP</t>
  </si>
  <si>
    <t>液体饱和温度</t>
  </si>
  <si>
    <t>阀门参数</t>
  </si>
  <si>
    <t>阀门类型</t>
  </si>
  <si>
    <t>IQ10</t>
  </si>
  <si>
    <t>阀芯结构</t>
  </si>
  <si>
    <t>标准型</t>
  </si>
  <si>
    <t>DN</t>
  </si>
  <si>
    <t>口径</t>
  </si>
  <si>
    <t>PN</t>
  </si>
  <si>
    <t>压力等级</t>
  </si>
  <si>
    <t>MPa/LB</t>
  </si>
  <si>
    <t>压力恢复系数</t>
  </si>
  <si>
    <t>需按不同的阀门类型，按不同开度给定FL值,需建数据库</t>
  </si>
  <si>
    <t>XT</t>
  </si>
  <si>
    <t>压差比系数</t>
  </si>
  <si>
    <t>设计给定(气体计算用)</t>
  </si>
  <si>
    <t>需按不同的阀门类型，按不同开度给定XT值,需建数据库</t>
  </si>
  <si>
    <t>流量特性</t>
  </si>
  <si>
    <t>等百分比</t>
  </si>
  <si>
    <t>阀芯/阀座尺寸</t>
  </si>
  <si>
    <t>固有可调比</t>
  </si>
  <si>
    <t>流量系数</t>
  </si>
  <si>
    <t>计算结果</t>
  </si>
  <si>
    <t>用于液体工况</t>
  </si>
  <si>
    <t>计算Kv</t>
  </si>
  <si>
    <t>L%</t>
  </si>
  <si>
    <t>阀门开度</t>
  </si>
  <si>
    <t>进口流速</t>
  </si>
  <si>
    <t>dBA(±5)</t>
  </si>
  <si>
    <t>流阻系数</t>
  </si>
  <si>
    <t>C1-1</t>
  </si>
  <si>
    <r>
      <rPr>
        <sz val="14"/>
        <rFont val="宋体"/>
        <charset val="134"/>
        <scheme val="minor"/>
      </rPr>
      <t>ΔP&lt;FL</t>
    </r>
    <r>
      <rPr>
        <vertAlign val="superscript"/>
        <sz val="14"/>
        <rFont val="宋体"/>
        <charset val="134"/>
      </rPr>
      <t>2</t>
    </r>
    <r>
      <rPr>
        <sz val="14"/>
        <rFont val="宋体"/>
        <charset val="134"/>
      </rPr>
      <t>(P1-F</t>
    </r>
    <r>
      <rPr>
        <vertAlign val="subscript"/>
        <sz val="14"/>
        <rFont val="宋体"/>
        <charset val="134"/>
      </rPr>
      <t>F</t>
    </r>
    <r>
      <rPr>
        <sz val="14"/>
        <rFont val="宋体"/>
        <charset val="134"/>
      </rPr>
      <t>P</t>
    </r>
    <r>
      <rPr>
        <vertAlign val="subscript"/>
        <sz val="14"/>
        <rFont val="宋体"/>
        <charset val="134"/>
      </rPr>
      <t>V</t>
    </r>
    <r>
      <rPr>
        <sz val="14"/>
        <rFont val="宋体"/>
        <charset val="134"/>
      </rPr>
      <t>)时，非阻塞流，无接管</t>
    </r>
  </si>
  <si>
    <t>C1-2</t>
  </si>
  <si>
    <r>
      <rPr>
        <sz val="14"/>
        <rFont val="宋体"/>
        <charset val="134"/>
        <scheme val="minor"/>
      </rPr>
      <t>ΔP&lt;</t>
    </r>
    <r>
      <rPr>
        <sz val="14"/>
        <rFont val="宋体"/>
        <charset val="134"/>
      </rPr>
      <t>[(F</t>
    </r>
    <r>
      <rPr>
        <vertAlign val="subscript"/>
        <sz val="14"/>
        <rFont val="宋体"/>
        <charset val="134"/>
      </rPr>
      <t>LP</t>
    </r>
    <r>
      <rPr>
        <sz val="14"/>
        <rFont val="宋体"/>
        <charset val="134"/>
      </rPr>
      <t>/F</t>
    </r>
    <r>
      <rPr>
        <vertAlign val="subscript"/>
        <sz val="14"/>
        <rFont val="宋体"/>
        <charset val="134"/>
      </rPr>
      <t>P</t>
    </r>
    <r>
      <rPr>
        <sz val="14"/>
        <rFont val="宋体"/>
        <charset val="134"/>
      </rPr>
      <t>)</t>
    </r>
    <r>
      <rPr>
        <vertAlign val="superscript"/>
        <sz val="14"/>
        <rFont val="宋体"/>
        <charset val="134"/>
      </rPr>
      <t>2</t>
    </r>
    <r>
      <rPr>
        <sz val="14"/>
        <rFont val="宋体"/>
        <charset val="134"/>
      </rPr>
      <t>(P1-FFPV)]时，非阻塞流，带接管</t>
    </r>
  </si>
  <si>
    <t>C1-3</t>
  </si>
  <si>
    <r>
      <rPr>
        <sz val="14"/>
        <rFont val="宋体"/>
        <charset val="134"/>
        <scheme val="minor"/>
      </rPr>
      <t>ΔP</t>
    </r>
    <r>
      <rPr>
        <sz val="14"/>
        <rFont val="宋体"/>
        <charset val="134"/>
      </rPr>
      <t>≥FL2(P1-FFPV)时，阻塞流</t>
    </r>
    <r>
      <rPr>
        <sz val="14"/>
        <rFont val="宋体"/>
        <charset val="134"/>
        <scheme val="minor"/>
      </rPr>
      <t xml:space="preserve"> 无接管</t>
    </r>
  </si>
  <si>
    <t>C1-4</t>
  </si>
  <si>
    <r>
      <rPr>
        <sz val="14"/>
        <rFont val="宋体"/>
        <charset val="134"/>
        <scheme val="minor"/>
      </rPr>
      <t>ΔP</t>
    </r>
    <r>
      <rPr>
        <sz val="14"/>
        <rFont val="宋体"/>
        <charset val="134"/>
      </rPr>
      <t>≥[(F</t>
    </r>
    <r>
      <rPr>
        <vertAlign val="subscript"/>
        <sz val="14"/>
        <rFont val="宋体"/>
        <charset val="134"/>
      </rPr>
      <t>LP</t>
    </r>
    <r>
      <rPr>
        <sz val="14"/>
        <rFont val="宋体"/>
        <charset val="134"/>
      </rPr>
      <t>/F</t>
    </r>
    <r>
      <rPr>
        <vertAlign val="subscript"/>
        <sz val="14"/>
        <rFont val="宋体"/>
        <charset val="134"/>
      </rPr>
      <t>P</t>
    </r>
    <r>
      <rPr>
        <sz val="14"/>
        <rFont val="宋体"/>
        <charset val="134"/>
      </rPr>
      <t>)</t>
    </r>
    <r>
      <rPr>
        <vertAlign val="superscript"/>
        <sz val="14"/>
        <rFont val="宋体"/>
        <charset val="134"/>
      </rPr>
      <t>2</t>
    </r>
    <r>
      <rPr>
        <sz val="14"/>
        <rFont val="宋体"/>
        <charset val="134"/>
      </rPr>
      <t>(P1-F</t>
    </r>
    <r>
      <rPr>
        <vertAlign val="subscript"/>
        <sz val="14"/>
        <rFont val="宋体"/>
        <charset val="134"/>
      </rPr>
      <t>F</t>
    </r>
    <r>
      <rPr>
        <sz val="14"/>
        <rFont val="宋体"/>
        <charset val="134"/>
      </rPr>
      <t>P</t>
    </r>
    <r>
      <rPr>
        <vertAlign val="subscript"/>
        <sz val="14"/>
        <rFont val="宋体"/>
        <charset val="134"/>
      </rPr>
      <t>V</t>
    </r>
    <r>
      <rPr>
        <sz val="14"/>
        <rFont val="宋体"/>
        <charset val="134"/>
      </rPr>
      <t>)]时，阻塞流，带接管</t>
    </r>
  </si>
  <si>
    <t>C1-5</t>
  </si>
  <si>
    <t>非紊流（层流和过渡流）时 Rev&lt;10000</t>
  </si>
  <si>
    <t>C1值判定</t>
  </si>
  <si>
    <t>流量系数Kv</t>
  </si>
  <si>
    <t>阀门出口流速</t>
  </si>
  <si>
    <t>Mach</t>
  </si>
  <si>
    <t>Mach=V/340</t>
  </si>
  <si>
    <t>ΔP&lt;FL2(P1-FFPV)</t>
  </si>
  <si>
    <r>
      <rPr>
        <sz val="14"/>
        <rFont val="宋体"/>
        <charset val="134"/>
      </rPr>
      <t>ΔP&lt;[(FLP/FP)</t>
    </r>
    <r>
      <rPr>
        <vertAlign val="superscript"/>
        <sz val="14"/>
        <rFont val="宋体"/>
        <charset val="134"/>
      </rPr>
      <t>2</t>
    </r>
    <r>
      <rPr>
        <sz val="14"/>
        <rFont val="宋体"/>
        <charset val="134"/>
      </rPr>
      <t>(P1-FFPV)]</t>
    </r>
  </si>
  <si>
    <r>
      <rPr>
        <sz val="14"/>
        <rFont val="宋体"/>
        <charset val="134"/>
        <scheme val="minor"/>
      </rPr>
      <t>ΔP</t>
    </r>
    <r>
      <rPr>
        <sz val="14"/>
        <rFont val="宋体"/>
        <charset val="134"/>
      </rPr>
      <t>≥FL</t>
    </r>
    <r>
      <rPr>
        <vertAlign val="superscript"/>
        <sz val="14"/>
        <rFont val="宋体"/>
        <charset val="134"/>
      </rPr>
      <t>2</t>
    </r>
    <r>
      <rPr>
        <sz val="14"/>
        <rFont val="宋体"/>
        <charset val="134"/>
      </rPr>
      <t>(P1-FFPV)时，阻塞流</t>
    </r>
    <r>
      <rPr>
        <sz val="14"/>
        <rFont val="宋体"/>
        <charset val="134"/>
        <scheme val="minor"/>
      </rPr>
      <t xml:space="preserve"> 无接管</t>
    </r>
  </si>
  <si>
    <r>
      <rPr>
        <sz val="14"/>
        <rFont val="宋体"/>
        <charset val="134"/>
      </rPr>
      <t>ΔP≥FL</t>
    </r>
    <r>
      <rPr>
        <vertAlign val="superscript"/>
        <sz val="14"/>
        <rFont val="宋体"/>
        <charset val="134"/>
      </rPr>
      <t>2</t>
    </r>
    <r>
      <rPr>
        <sz val="14"/>
        <rFont val="宋体"/>
        <charset val="134"/>
      </rPr>
      <t>(P1-FFPV)</t>
    </r>
  </si>
  <si>
    <r>
      <rPr>
        <sz val="14"/>
        <rFont val="宋体"/>
        <charset val="134"/>
      </rPr>
      <t>ΔP≥[(FLP/FP)</t>
    </r>
    <r>
      <rPr>
        <vertAlign val="superscript"/>
        <sz val="14"/>
        <rFont val="宋体"/>
        <charset val="134"/>
      </rPr>
      <t>2</t>
    </r>
    <r>
      <rPr>
        <sz val="14"/>
        <rFont val="宋体"/>
        <charset val="134"/>
      </rPr>
      <t>(P1-FFPV)]</t>
    </r>
  </si>
  <si>
    <t>非紊流（层流和过渡流）</t>
  </si>
  <si>
    <t>Rev&lt;10000</t>
  </si>
  <si>
    <t>Kc阀</t>
  </si>
  <si>
    <t>气蚀指数</t>
  </si>
  <si>
    <t>Kc计</t>
  </si>
  <si>
    <t>气体/蒸汽</t>
  </si>
  <si>
    <t>X&lt;Fγ*χT时，非阻塞流，无接管</t>
  </si>
  <si>
    <t>X&lt;Fγ*χT</t>
  </si>
  <si>
    <t>X&lt;Fγ*χTP时，非阻塞流，带接管</t>
  </si>
  <si>
    <t>X&lt;Fγ*χTP</t>
  </si>
  <si>
    <t>X≥Fγ*χT时，阻塞流，无接管</t>
  </si>
  <si>
    <t>X≥Fγ*χT</t>
  </si>
  <si>
    <t>X≥Fγ*χTP时，阻塞流，带接管</t>
  </si>
  <si>
    <t>X≥Fγ*χTP</t>
  </si>
  <si>
    <t>可压缩流体（气体）Kv</t>
  </si>
  <si>
    <t>C2-1</t>
  </si>
  <si>
    <t>C2-2</t>
  </si>
  <si>
    <t>X&lt;Fγ*χTp时，非阻塞流，带接管</t>
  </si>
  <si>
    <t>C2-3</t>
  </si>
  <si>
    <t>C2-4</t>
  </si>
  <si>
    <t>C2-5</t>
  </si>
  <si>
    <t>C2值判定</t>
  </si>
  <si>
    <t>可压缩流体（蒸汽）Kv</t>
  </si>
  <si>
    <t>C3-1</t>
  </si>
  <si>
    <t>C3-2</t>
  </si>
  <si>
    <t>C3-3</t>
  </si>
  <si>
    <t>C3-4</t>
  </si>
  <si>
    <t>;</t>
  </si>
  <si>
    <t>C3-5</t>
  </si>
  <si>
    <t>C3值判定</t>
  </si>
  <si>
    <t>两相流 Kv</t>
  </si>
  <si>
    <t>C4-1</t>
  </si>
  <si>
    <t>液体与非液化气体</t>
  </si>
  <si>
    <t>ρe</t>
  </si>
  <si>
    <t>两相流有效密度</t>
  </si>
  <si>
    <t>C4-2</t>
  </si>
  <si>
    <t>液体与蒸汽</t>
  </si>
  <si>
    <t>ρm</t>
  </si>
  <si>
    <t>C4值判定</t>
  </si>
  <si>
    <t>管道尺寸和阀门口径是否相同判定</t>
  </si>
  <si>
    <t>d1</t>
  </si>
  <si>
    <t>阀座尺寸</t>
  </si>
  <si>
    <t>管道规定（公称通径）</t>
  </si>
  <si>
    <t>进口管道</t>
  </si>
  <si>
    <t>出口管道</t>
  </si>
  <si>
    <t>需按不同的阀门类型，按不同开度给定Fd.值，重要参数会影响噪音计算值</t>
  </si>
  <si>
    <t>mm2</t>
  </si>
  <si>
    <t>雷诺数系数(FR不能大于1，大于1时按取值为1)</t>
  </si>
  <si>
    <t>判定值</t>
  </si>
  <si>
    <t>`Rev</t>
  </si>
  <si>
    <t>ΔP/P1</t>
  </si>
  <si>
    <t>数字常数，Kv计算系数，见表1
（压力单位按KPa选取）</t>
  </si>
  <si>
    <t>液体流量换算</t>
  </si>
  <si>
    <t>换算成m3/h</t>
  </si>
  <si>
    <t>换算成Kg/h</t>
  </si>
  <si>
    <t>Q2</t>
  </si>
  <si>
    <t>气体流量换算</t>
  </si>
  <si>
    <t>换算成Nm3/h</t>
  </si>
  <si>
    <t>用于计算流速</t>
  </si>
  <si>
    <t>Q4</t>
  </si>
  <si>
    <t>蒸汽流量换算</t>
  </si>
  <si>
    <t>Q5</t>
  </si>
  <si>
    <t>Q6</t>
  </si>
  <si>
    <t>两相流气体流量换算</t>
  </si>
  <si>
    <t>Q7</t>
  </si>
  <si>
    <t>密度转换公式</t>
  </si>
  <si>
    <t>液体密度转换</t>
  </si>
  <si>
    <t>换算成Kg/m3</t>
  </si>
  <si>
    <t>气体密度转换</t>
  </si>
  <si>
    <t>换算成Kg/Nm3</t>
  </si>
  <si>
    <t>蒸汽密度转换</t>
  </si>
  <si>
    <t>ρ4</t>
  </si>
  <si>
    <t>两相流气体密度转换</t>
  </si>
  <si>
    <t>粘度换算用</t>
  </si>
  <si>
    <t>粘度转换公式</t>
  </si>
  <si>
    <t>换算成运动粘度 V</t>
  </si>
  <si>
    <t>换算成m2/s</t>
  </si>
  <si>
    <t>液体饱和蒸汽压计算公式</t>
  </si>
  <si>
    <t>需建立数据库</t>
  </si>
  <si>
    <t>编码</t>
  </si>
  <si>
    <t>Nm3/h</t>
  </si>
  <si>
    <t>MPa(G)</t>
  </si>
  <si>
    <t>Kg/Nm3</t>
  </si>
  <si>
    <t>空气默认1.4</t>
  </si>
  <si>
    <t>水为22.12</t>
  </si>
  <si>
    <t>介质为水的时候自动计算，其它介质为输入项</t>
  </si>
  <si>
    <t>阀门口径</t>
  </si>
  <si>
    <t>dn</t>
  </si>
  <si>
    <t>按不同阀门类型自动生成</t>
  </si>
  <si>
    <t>默认为50</t>
  </si>
  <si>
    <t>KV/CV切换</t>
  </si>
  <si>
    <t>KV/CV输入</t>
  </si>
  <si>
    <t>转化成Kv</t>
  </si>
  <si>
    <t>自动生成，提供数据库</t>
  </si>
  <si>
    <t>KV/CV输出切换</t>
  </si>
  <si>
    <t>非紊流判定有问题</t>
  </si>
  <si>
    <t>·</t>
  </si>
  <si>
    <t>P1和T1时流体密度（噪音计算用）阀前密度</t>
  </si>
  <si>
    <t>P2和T2时流体密度（噪音计算用）阀后密度</t>
  </si>
  <si>
    <t>压力转换公式</t>
  </si>
  <si>
    <t>阀前压力转换</t>
  </si>
  <si>
    <t>阀后压力转换</t>
  </si>
  <si>
    <t>阀门前后压差</t>
  </si>
  <si>
    <t>工作温度转℃</t>
  </si>
  <si>
    <t>预警信息</t>
  </si>
  <si>
    <t>P1 P2低于Pv</t>
  </si>
  <si>
    <t>P1 P2绝对压力不能小于0</t>
  </si>
  <si>
    <t>T高于t</t>
  </si>
  <si>
    <t>液体闪蒸 噪音无法计算</t>
  </si>
  <si>
    <t>P2大于P1</t>
  </si>
  <si>
    <t>阀门口径大于管道规格</t>
  </si>
  <si>
    <t>输出结果</t>
  </si>
  <si>
    <t>距离阀门1m处噪音</t>
  </si>
  <si>
    <t>输入参数</t>
  </si>
  <si>
    <t>`</t>
  </si>
  <si>
    <t>单流体面积</t>
  </si>
  <si>
    <t>m2</t>
  </si>
  <si>
    <t>需要数据库，重要参数</t>
  </si>
  <si>
    <t>An</t>
  </si>
  <si>
    <t>给定行程下n级的多级降压阀内件的最后一级的总流通面积</t>
  </si>
  <si>
    <t>流量系数（计算Kv）</t>
  </si>
  <si>
    <t>阀门出口直径</t>
  </si>
  <si>
    <t>流路直径（非圆截面则用dH）打孔直径</t>
  </si>
  <si>
    <t>di</t>
  </si>
  <si>
    <t>阀门出口内径或渐缩管进口内径的较小值</t>
  </si>
  <si>
    <t>Di</t>
  </si>
  <si>
    <t>液体压力恢复系数</t>
  </si>
  <si>
    <t>无量纲</t>
  </si>
  <si>
    <t>FLn</t>
  </si>
  <si>
    <t>低噪音阀内件最后一级的液体压力恢复系数</t>
  </si>
  <si>
    <t>FLp</t>
  </si>
  <si>
    <t>带附接管件控制阀的液体压力恢复系数和管道
几何形状系数的复合系数</t>
  </si>
  <si>
    <t>Fp</t>
  </si>
  <si>
    <t>l</t>
  </si>
  <si>
    <t>径向流路的长度 （阀笼壁厚）</t>
  </si>
  <si>
    <t>单流路湿周 （周长）</t>
  </si>
  <si>
    <t>流体分子质量</t>
  </si>
  <si>
    <t>Kg/kmol</t>
  </si>
  <si>
    <t>质量流量</t>
  </si>
  <si>
    <t>Kg/s</t>
  </si>
  <si>
    <t>ms</t>
  </si>
  <si>
    <t>声速时的质量流量</t>
  </si>
  <si>
    <t>N14</t>
  </si>
  <si>
    <t>数字常数</t>
  </si>
  <si>
    <t>N16</t>
  </si>
  <si>
    <t>No</t>
  </si>
  <si>
    <t>阀内件上互相独立且完全相等的流路数</t>
  </si>
  <si>
    <t>Pa(A)</t>
  </si>
  <si>
    <t>Pa</t>
  </si>
  <si>
    <t>管道外实际大气压</t>
  </si>
  <si>
    <t>Po</t>
  </si>
  <si>
    <r>
      <rPr>
        <sz val="11"/>
        <color theme="1"/>
        <rFont val="宋体"/>
        <charset val="134"/>
        <scheme val="minor"/>
      </rPr>
      <t>参比声压=2x10</t>
    </r>
    <r>
      <rPr>
        <vertAlign val="superscript"/>
        <sz val="11"/>
        <color theme="1"/>
        <rFont val="宋体"/>
        <charset val="134"/>
        <scheme val="minor"/>
      </rPr>
      <t>-5</t>
    </r>
    <r>
      <rPr>
        <sz val="11"/>
        <color theme="1"/>
        <rFont val="宋体"/>
        <charset val="134"/>
        <scheme val="minor"/>
      </rPr>
      <t>（注5）</t>
    </r>
  </si>
  <si>
    <t>Ps</t>
  </si>
  <si>
    <t>标准大气压</t>
  </si>
  <si>
    <t>阀入口绝对压力</t>
  </si>
  <si>
    <t>阀出口绝对压力</t>
  </si>
  <si>
    <t>气体常数8314</t>
  </si>
  <si>
    <t>J/kmol.K</t>
  </si>
  <si>
    <t>Tn</t>
  </si>
  <si>
    <t>n级的多级降压阀内件的最后一级的绝对温度</t>
  </si>
  <si>
    <t>T2</t>
  </si>
  <si>
    <t>出口绝对温度</t>
  </si>
  <si>
    <t>tp</t>
  </si>
  <si>
    <t>Wo</t>
  </si>
  <si>
    <r>
      <rPr>
        <sz val="11"/>
        <color theme="1"/>
        <rFont val="宋体"/>
        <charset val="134"/>
        <scheme val="minor"/>
      </rPr>
      <t>参比声功率=10</t>
    </r>
    <r>
      <rPr>
        <vertAlign val="superscript"/>
        <sz val="11"/>
        <color theme="1"/>
        <rFont val="宋体"/>
        <charset val="134"/>
        <scheme val="minor"/>
      </rPr>
      <t>-12</t>
    </r>
    <r>
      <rPr>
        <sz val="11"/>
        <color theme="1"/>
        <rFont val="宋体"/>
        <charset val="134"/>
        <scheme val="minor"/>
      </rPr>
      <t>（见注5）</t>
    </r>
  </si>
  <si>
    <t>β</t>
  </si>
  <si>
    <t>阀出口或渐扩管入口收缩系数</t>
  </si>
  <si>
    <t>P1和T1时流体密度</t>
  </si>
  <si>
    <t>Φ</t>
  </si>
  <si>
    <t>相对流量系数</t>
  </si>
  <si>
    <t>公用计算部分</t>
  </si>
  <si>
    <t>阀内件形式</t>
  </si>
  <si>
    <t>Pvc</t>
  </si>
  <si>
    <t>亚音速流条件下缩流断面的绝对压力</t>
  </si>
  <si>
    <t>Pvcc</t>
  </si>
  <si>
    <t>临界流条件下缩流断面的绝对压力</t>
  </si>
  <si>
    <t>P2C</t>
  </si>
  <si>
    <t>临界状态下阀门出口的绝对压力</t>
  </si>
  <si>
    <t>α</t>
  </si>
  <si>
    <t>恢复修正系数</t>
  </si>
  <si>
    <t>P2B</t>
  </si>
  <si>
    <t>断点处阀出口绝对压力</t>
  </si>
  <si>
    <t>P2CE</t>
  </si>
  <si>
    <t>声效系数开始为常数时阀出口绝对压力</t>
  </si>
  <si>
    <t>湿周指周长</t>
  </si>
  <si>
    <t>阀门类型修正系数</t>
  </si>
  <si>
    <t>单流路水力直径</t>
  </si>
  <si>
    <t>d0</t>
  </si>
  <si>
    <t>圆节流孔直径，其面积等于给定行程下所有流路面积之和</t>
  </si>
  <si>
    <t>Dj</t>
  </si>
  <si>
    <t>缩流断面射流直径</t>
  </si>
  <si>
    <t>rw</t>
  </si>
  <si>
    <t>声功率比（见表3）</t>
  </si>
  <si>
    <t>按阀门类型选择</t>
  </si>
  <si>
    <t>状态I</t>
  </si>
  <si>
    <t>P2≥P2C时</t>
  </si>
  <si>
    <t>Uvc</t>
  </si>
  <si>
    <t>亚音速流条件下缩流断面速度</t>
  </si>
  <si>
    <t>Wm</t>
  </si>
  <si>
    <t>质量流量流动功率</t>
  </si>
  <si>
    <t>Tvc</t>
  </si>
  <si>
    <t>亚音速流条件下缩流断面绝对温度</t>
  </si>
  <si>
    <t>Cvc</t>
  </si>
  <si>
    <t>亚音速流条件下缩流断面的声速</t>
  </si>
  <si>
    <t>Mvc</t>
  </si>
  <si>
    <t>减缩断面马赫数</t>
  </si>
  <si>
    <t>η</t>
  </si>
  <si>
    <t>声效系数（见注2）</t>
  </si>
  <si>
    <t>Wa</t>
  </si>
  <si>
    <t>声功率</t>
  </si>
  <si>
    <t>Lwi</t>
  </si>
  <si>
    <t>总内部声功率级</t>
  </si>
  <si>
    <t>fp</t>
  </si>
  <si>
    <t>产生的峰频率</t>
  </si>
  <si>
    <t>Hz</t>
  </si>
  <si>
    <t>状态II到V（通用计算）</t>
  </si>
  <si>
    <t>Tvcc</t>
  </si>
  <si>
    <t>临界流条件下缩流断面绝对温度</t>
  </si>
  <si>
    <t>Cvcc</t>
  </si>
  <si>
    <t>临界流条件下缩流断面的声速</t>
  </si>
  <si>
    <t>Wms</t>
  </si>
  <si>
    <t>声速下质量流量流动功率</t>
  </si>
  <si>
    <t>Mj</t>
  </si>
  <si>
    <t>状态II到状态IV时的自由膨胀射流马赫数</t>
  </si>
  <si>
    <t>状态II</t>
  </si>
  <si>
    <t>P2C&gt;P2≥PVCC时</t>
  </si>
  <si>
    <t>η2</t>
  </si>
  <si>
    <t>状态III</t>
  </si>
  <si>
    <t>PVCC&gt;P2≥P2B时</t>
  </si>
  <si>
    <t>η3</t>
  </si>
  <si>
    <t>状态IV</t>
  </si>
  <si>
    <t>P2B&gt;P2≥P2CE时</t>
  </si>
  <si>
    <t>η4</t>
  </si>
  <si>
    <t>状态V</t>
  </si>
  <si>
    <t>P2CE&gt;P2时</t>
  </si>
  <si>
    <t>Mj5</t>
  </si>
  <si>
    <t>状态V时的自由膨胀射流马赫数</t>
  </si>
  <si>
    <t>η5</t>
  </si>
  <si>
    <t>噪音计算</t>
  </si>
  <si>
    <t>P2和T2时流体密度</t>
  </si>
  <si>
    <t>下游声速</t>
  </si>
  <si>
    <t>M0</t>
  </si>
  <si>
    <t>阀出口马赫数</t>
  </si>
  <si>
    <t>状态I~V取值判定</t>
  </si>
  <si>
    <t>Wa 判定</t>
  </si>
  <si>
    <t>fp 判定</t>
  </si>
  <si>
    <t>Lpi</t>
  </si>
  <si>
    <t>管壁上内部声压级（见5.6）</t>
  </si>
  <si>
    <t>TL</t>
  </si>
  <si>
    <t>传播损失</t>
  </si>
  <si>
    <t>fr</t>
  </si>
  <si>
    <t>环形频率</t>
  </si>
  <si>
    <t>f0</t>
  </si>
  <si>
    <t>内部管道重合频率</t>
  </si>
  <si>
    <t>fg</t>
  </si>
  <si>
    <t>外部重合频率</t>
  </si>
  <si>
    <t>Gx</t>
  </si>
  <si>
    <t>频率系数（见表4）</t>
  </si>
  <si>
    <t>Gy</t>
  </si>
  <si>
    <t>Lg</t>
  </si>
  <si>
    <t>马赫数修正值</t>
  </si>
  <si>
    <t>M2</t>
  </si>
  <si>
    <t>下游管道马赫数</t>
  </si>
  <si>
    <t>不能大于1，否则报错</t>
  </si>
  <si>
    <t>Lpae</t>
  </si>
  <si>
    <t>管道外A加权声压级</t>
  </si>
  <si>
    <t>LpAe，1m</t>
  </si>
  <si>
    <t>管壁外A加权声压级</t>
  </si>
  <si>
    <t>带降噪功能的阀门(多级降压调节阀)</t>
  </si>
  <si>
    <t>Cn</t>
  </si>
  <si>
    <t>n级的多级降压阀内件的最后一级的流量系数</t>
  </si>
  <si>
    <t>Pn</t>
  </si>
  <si>
    <t>n级的多级降压阀内件的最后一级的绝对滞止压力
P1/P2≥2并且Pn/P2＜2</t>
  </si>
  <si>
    <t>P1/P2≥2并且Pn/P2≥2</t>
  </si>
  <si>
    <t>P1/P2＜2</t>
  </si>
  <si>
    <t>Pn判定</t>
  </si>
  <si>
    <t>ρn</t>
  </si>
  <si>
    <t>Pn和Tn时的n级的多级阀内件最后一级的流体密度</t>
  </si>
  <si>
    <t>LpAe</t>
  </si>
  <si>
    <t>Mjn</t>
  </si>
  <si>
    <t>n级的多级降压阀内件的最后一级的自由膨胀射流马赫数</t>
  </si>
  <si>
    <t>出口处马赫数较高的阀门 （适用于&lt;0.8Mach的工况）</t>
  </si>
  <si>
    <t>Up</t>
  </si>
  <si>
    <t>下游管道气体速度</t>
  </si>
  <si>
    <t>UR</t>
  </si>
  <si>
    <t>渐缩管进口气体速度</t>
  </si>
  <si>
    <t>WmR</t>
  </si>
  <si>
    <t>阀出口或渐扩管缩径处质量流的流动功率</t>
  </si>
  <si>
    <t>fpR</t>
  </si>
  <si>
    <t>在阀门出口处或渐缩管锁径处产生的峰频率</t>
  </si>
  <si>
    <t>ηR</t>
  </si>
  <si>
    <t>声效系数</t>
  </si>
  <si>
    <t>MR</t>
  </si>
  <si>
    <t>渐扩管入口马赫数</t>
  </si>
  <si>
    <t>WaR</t>
  </si>
  <si>
    <t>阀出口或渐缩管缩径处声功率</t>
  </si>
  <si>
    <t>LpiR</t>
  </si>
  <si>
    <t>下游管道内部声压级（见5.6）</t>
  </si>
  <si>
    <t>TLR</t>
  </si>
  <si>
    <t>下游管道传播损失</t>
  </si>
  <si>
    <t>LpeR</t>
  </si>
  <si>
    <t>由管道渐扩管导致气体紊流引起的距管壁1m处A加权声压级</t>
  </si>
  <si>
    <t>Lps</t>
  </si>
  <si>
    <t>由阀内件和渐缩管引起的距管壁1m处组合A加权声压级</t>
  </si>
  <si>
    <t>注 下标：
    e：表示外部
    i：表示内部
    n：表示阀内件最后一级
    R：表示在管道下游或渐扩管情况下。</t>
  </si>
  <si>
    <r>
      <rPr>
        <sz val="11"/>
        <color theme="1"/>
        <rFont val="宋体"/>
        <charset val="134"/>
        <scheme val="minor"/>
      </rPr>
      <t>注  1、标注大气压是101.325KPa
    2、下标1.2.3.4.5相应表示状态I.II.III.IV.V
    3、为计算缩流断面压力及速度，本部分中假定气体压力恢复情况与液体相同
    4、声功率与声压一般经过对数换算以分贝形式表示，它们与参比标准有一定的对数关系，声压为2x10</t>
    </r>
    <r>
      <rPr>
        <vertAlign val="superscript"/>
        <sz val="11"/>
        <color theme="1"/>
        <rFont val="宋体"/>
        <charset val="134"/>
        <scheme val="minor"/>
      </rPr>
      <t>-5</t>
    </r>
    <r>
      <rPr>
        <sz val="11"/>
        <color theme="1"/>
        <rFont val="宋体"/>
        <charset val="134"/>
        <scheme val="minor"/>
      </rPr>
      <t>，声功率为10</t>
    </r>
    <r>
      <rPr>
        <vertAlign val="superscript"/>
        <sz val="11"/>
        <color theme="1"/>
        <rFont val="宋体"/>
        <charset val="134"/>
        <scheme val="minor"/>
      </rPr>
      <t>-12</t>
    </r>
    <r>
      <rPr>
        <sz val="11"/>
        <color theme="1"/>
        <rFont val="宋体"/>
        <charset val="134"/>
        <scheme val="minor"/>
      </rPr>
      <t>W</t>
    </r>
  </si>
  <si>
    <t>项目名称</t>
  </si>
  <si>
    <t>dBA（±5）</t>
  </si>
  <si>
    <t>距离阀门1m处噪音值</t>
  </si>
  <si>
    <t>阀门</t>
  </si>
  <si>
    <t>所需流量系数(计算Cv)</t>
  </si>
  <si>
    <t>kg/s</t>
  </si>
  <si>
    <t>阀门入口绝对压力</t>
  </si>
  <si>
    <t>阀门出口绝对压力</t>
  </si>
  <si>
    <t>阀入口内径</t>
  </si>
  <si>
    <t>阀座直径</t>
  </si>
  <si>
    <t>小孔直径</t>
  </si>
  <si>
    <t>需要数据库</t>
  </si>
  <si>
    <t>小孔数量</t>
  </si>
  <si>
    <t>个</t>
  </si>
  <si>
    <t>阀门修正系数</t>
  </si>
  <si>
    <t>补充计算方法</t>
  </si>
  <si>
    <t>管道</t>
  </si>
  <si>
    <t>管壁厚度</t>
  </si>
  <si>
    <t>ρp</t>
  </si>
  <si>
    <t>钢材的密度</t>
  </si>
  <si>
    <t>kg/m³</t>
  </si>
  <si>
    <t>cp</t>
  </si>
  <si>
    <t>管壁上纵向波的声速</t>
  </si>
  <si>
    <t>其他</t>
  </si>
  <si>
    <t>ρL</t>
  </si>
  <si>
    <t>液体密度</t>
  </si>
  <si>
    <t>液体蒸气压</t>
  </si>
  <si>
    <t>cL</t>
  </si>
  <si>
    <t>液体中声速</t>
  </si>
  <si>
    <t>ρ0</t>
  </si>
  <si>
    <t>空气密度</t>
  </si>
  <si>
    <t>c0</t>
  </si>
  <si>
    <t>空气中声速</t>
  </si>
  <si>
    <t>计算</t>
  </si>
  <si>
    <t>xF</t>
  </si>
  <si>
    <t>压差比</t>
  </si>
  <si>
    <t>XFid</t>
  </si>
  <si>
    <t>设计给点</t>
  </si>
  <si>
    <t>△Pc</t>
  </si>
  <si>
    <t>Uvc压差(取两者小值)</t>
  </si>
  <si>
    <t>△Pc取最小值</t>
  </si>
  <si>
    <t>N34</t>
  </si>
  <si>
    <t>xFz</t>
  </si>
  <si>
    <t>初生空化噪声压差比
用于多级阀之外的模型</t>
  </si>
  <si>
    <t>初生空化噪声压差比
用于多级阀的模型</t>
  </si>
  <si>
    <t>结果判定</t>
  </si>
  <si>
    <t>xFzp1</t>
  </si>
  <si>
    <t>修正入口压力的压差比</t>
  </si>
  <si>
    <t>射流直径</t>
  </si>
  <si>
    <t>缩流断面处流速</t>
  </si>
  <si>
    <t>机械功率</t>
  </si>
  <si>
    <t>流动条件判定</t>
  </si>
  <si>
    <t>xFzp1&lt;XF&lt;1</t>
  </si>
  <si>
    <t>Aη</t>
  </si>
  <si>
    <t>阀门声学校正系数</t>
  </si>
  <si>
    <t>见表2 根据阀门形式选取</t>
  </si>
  <si>
    <t>ηturb</t>
  </si>
  <si>
    <t>声效系数(紊流)</t>
  </si>
  <si>
    <t>ηcav</t>
  </si>
  <si>
    <t>声效系数(空化流)</t>
  </si>
  <si>
    <t>声功率比</t>
  </si>
  <si>
    <t>声功率（紊流）</t>
  </si>
  <si>
    <t>声功率（空化区域）</t>
  </si>
  <si>
    <t>Wa值判定</t>
  </si>
  <si>
    <t>内部声压级</t>
  </si>
  <si>
    <t>Nstr</t>
  </si>
  <si>
    <t>射流的斯德鲁哈尔数</t>
  </si>
  <si>
    <t>fp,turb</t>
  </si>
  <si>
    <t>峰值频率（紊流）</t>
  </si>
  <si>
    <t>fp,cav</t>
  </si>
  <si>
    <t>峰值频率（空化流）</t>
  </si>
  <si>
    <t>TLfr</t>
  </si>
  <si>
    <t>环形频率最小传播损失</t>
  </si>
  <si>
    <t>△TLfp,turb</t>
  </si>
  <si>
    <t>修正fp,turb的传播损失</t>
  </si>
  <si>
    <t>TLturb</t>
  </si>
  <si>
    <t>紊流的总传播损失</t>
  </si>
  <si>
    <t>Lpe，1m</t>
  </si>
  <si>
    <t>外部声压级（紊流）</t>
  </si>
  <si>
    <t>TLcav</t>
  </si>
  <si>
    <t>总传播损失（空化流）</t>
  </si>
  <si>
    <t>外部声压级（空化）</t>
  </si>
  <si>
    <t>fi</t>
  </si>
  <si>
    <t>怎么确定</t>
  </si>
  <si>
    <t>Fturb(fi)</t>
  </si>
  <si>
    <t>频率分布函数（紊流）</t>
  </si>
  <si>
    <t>Fcav(fi)</t>
  </si>
  <si>
    <t>频率分布函数（空化流）</t>
  </si>
  <si>
    <t>Lpi,(fi)</t>
  </si>
  <si>
    <t>fi的内部声压级（紊流）</t>
  </si>
  <si>
    <t>fi的内部声压级（空化流）</t>
  </si>
  <si>
    <t>Lpi,(fi)值判定</t>
  </si>
  <si>
    <t>△TL(fi)</t>
  </si>
  <si>
    <t>修正fi的传播损失</t>
  </si>
  <si>
    <t>TL(fi)</t>
  </si>
  <si>
    <t>频率fi时的传播损失</t>
  </si>
  <si>
    <t>Lpe,1m(fi)</t>
  </si>
  <si>
    <t>频率fi时的外部声压级</t>
  </si>
  <si>
    <t>管道规格表</t>
  </si>
  <si>
    <t>通径</t>
  </si>
  <si>
    <t>外径</t>
  </si>
  <si>
    <t>SCH壁厚等级</t>
  </si>
  <si>
    <t>英制</t>
  </si>
  <si>
    <t>公制</t>
  </si>
  <si>
    <t>STD</t>
  </si>
  <si>
    <t>XS</t>
  </si>
  <si>
    <t>XXS</t>
  </si>
  <si>
    <t>5S</t>
  </si>
  <si>
    <t>10S</t>
  </si>
  <si>
    <t>20S</t>
  </si>
  <si>
    <t>40S</t>
  </si>
  <si>
    <t>80S</t>
  </si>
  <si>
    <t>1/8</t>
  </si>
  <si>
    <t>1/4</t>
  </si>
  <si>
    <t>3/8</t>
  </si>
  <si>
    <t>1/2</t>
  </si>
  <si>
    <t>3/4</t>
  </si>
  <si>
    <t>1-1/4</t>
  </si>
  <si>
    <t>1-1/2</t>
  </si>
  <si>
    <t>2-1/2</t>
  </si>
  <si>
    <t>3-1/2</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</si>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</sst>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quot;$&quot;\ * #,##0_ ;_ &quot;$&quot;\ * \-#,##0_ ;_ &quot;$&quot;\ * &quot;-&quot;_ ;_ @_ "/>
    <numFmt numFmtId="177" formatCode="_ &quot;$&quot;\ * #,##0.00_ ;_ &quot;$&quot;\ * \-#,##0.00_ ;_ &quot;$&quot;\ * &quot;-&quot;??_ ;_ @_ "/>
    <numFmt numFmtId="178" formatCode="0.00_)"/>
    <numFmt numFmtId="179" formatCode="0.00_ "/>
    <numFmt numFmtId="180" formatCode="0.0000_ "/>
    <numFmt numFmtId="181" formatCode="0.00000_ "/>
    <numFmt numFmtId="182" formatCode="0.000_ "/>
    <numFmt numFmtId="183" formatCode="0.0_ "/>
  </numFmts>
  <fonts count="77">
    <font>
      <sz val="12"/>
      <name val="宋体"/>
      <charset val="134"/>
    </font>
    <font>
      <sz val="11"/>
      <color theme="1"/>
      <name val="宋体"/>
      <charset val="134"/>
      <scheme val="minor"/>
    </font>
    <font>
      <sz val="11"/>
      <color rgb="FFFF0000"/>
      <name val="宋体"/>
      <charset val="134"/>
      <scheme val="minor"/>
    </font>
    <font>
      <b/>
      <sz val="11"/>
      <color theme="1"/>
      <name val="宋体"/>
      <charset val="134"/>
      <scheme val="minor"/>
    </font>
    <font>
      <sz val="11"/>
      <name val="宋体"/>
      <charset val="134"/>
    </font>
    <font>
      <b/>
      <sz val="11"/>
      <color rgb="FFFF0000"/>
      <name val="宋体"/>
      <charset val="134"/>
      <scheme val="minor"/>
    </font>
    <font>
      <sz val="14"/>
      <name val="宋体"/>
      <charset val="134"/>
    </font>
    <font>
      <sz val="14"/>
      <color rgb="FFFF0000"/>
      <name val="宋体"/>
      <charset val="134"/>
    </font>
    <font>
      <sz val="11"/>
      <color rgb="FFFF0000"/>
      <name val="宋体"/>
      <charset val="134"/>
    </font>
    <font>
      <b/>
      <sz val="11"/>
      <name val="宋体"/>
      <charset val="134"/>
    </font>
    <font>
      <sz val="11"/>
      <color theme="1"/>
      <name val="宋体"/>
      <charset val="134"/>
    </font>
    <font>
      <b/>
      <sz val="14"/>
      <color rgb="FFFF0000"/>
      <name val="宋体"/>
      <charset val="134"/>
    </font>
    <font>
      <b/>
      <sz val="14"/>
      <name val="宋体"/>
      <charset val="134"/>
    </font>
    <font>
      <sz val="14"/>
      <name val="宋体"/>
      <charset val="134"/>
      <scheme val="minor"/>
    </font>
    <font>
      <b/>
      <sz val="14"/>
      <name val="宋体"/>
      <charset val="134"/>
      <scheme val="minor"/>
    </font>
    <font>
      <sz val="10"/>
      <name val="宋体"/>
      <charset val="134"/>
    </font>
    <font>
      <b/>
      <sz val="10"/>
      <color theme="1"/>
      <name val="宋体"/>
      <charset val="134"/>
      <scheme val="minor"/>
    </font>
    <font>
      <sz val="10"/>
      <color rgb="FFFF0000"/>
      <name val="宋体"/>
      <charset val="134"/>
    </font>
    <font>
      <sz val="10"/>
      <color theme="1"/>
      <name val="宋体"/>
      <charset val="134"/>
      <scheme val="minor"/>
    </font>
    <font>
      <sz val="10"/>
      <name val="宋体"/>
      <charset val="134"/>
      <scheme val="minor"/>
    </font>
    <font>
      <b/>
      <sz val="10"/>
      <name val="宋体"/>
      <charset val="134"/>
    </font>
    <font>
      <sz val="9"/>
      <color theme="1"/>
      <name val="宋体"/>
      <charset val="134"/>
      <scheme val="minor"/>
    </font>
    <font>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color indexed="9"/>
      <name val="宋体"/>
      <charset val="134"/>
    </font>
    <font>
      <sz val="12"/>
      <color indexed="8"/>
      <name val="宋体"/>
      <charset val="134"/>
    </font>
    <font>
      <sz val="10"/>
      <name val="Book Antiqua"/>
      <charset val="134"/>
    </font>
    <font>
      <sz val="8"/>
      <name val="仿宋体"/>
      <charset val="134"/>
    </font>
    <font>
      <sz val="8"/>
      <name val="Arial"/>
      <charset val="134"/>
    </font>
    <font>
      <b/>
      <sz val="12"/>
      <name val="Arial"/>
      <charset val="134"/>
    </font>
    <font>
      <sz val="14"/>
      <name val="黑体"/>
      <charset val="134"/>
    </font>
    <font>
      <sz val="8"/>
      <name val="宋体"/>
      <charset val="134"/>
    </font>
    <font>
      <b/>
      <i/>
      <sz val="16"/>
      <name val="Helv"/>
      <charset val="134"/>
    </font>
    <font>
      <sz val="10"/>
      <name val="MS Sans Serif"/>
      <charset val="134"/>
    </font>
    <font>
      <sz val="10"/>
      <name val="Courier New"/>
      <charset val="134"/>
    </font>
    <font>
      <b/>
      <sz val="18"/>
      <color indexed="62"/>
      <name val="宋体"/>
      <charset val="134"/>
    </font>
    <font>
      <sz val="11"/>
      <color indexed="20"/>
      <name val="宋体"/>
      <charset val="134"/>
    </font>
    <font>
      <sz val="12"/>
      <color indexed="16"/>
      <name val="宋体"/>
      <charset val="134"/>
    </font>
    <font>
      <sz val="9"/>
      <name val="宋体"/>
      <charset val="134"/>
    </font>
    <font>
      <u/>
      <sz val="9"/>
      <color indexed="12"/>
      <name val="宋体"/>
      <charset val="134"/>
    </font>
    <font>
      <sz val="11"/>
      <color indexed="17"/>
      <name val="宋体"/>
      <charset val="134"/>
    </font>
    <font>
      <sz val="12"/>
      <color indexed="17"/>
      <name val="宋体"/>
      <charset val="134"/>
    </font>
    <font>
      <u/>
      <sz val="9"/>
      <color indexed="36"/>
      <name val="宋体"/>
      <charset val="134"/>
    </font>
    <font>
      <b/>
      <sz val="12"/>
      <color indexed="8"/>
      <name val="宋体"/>
      <charset val="134"/>
    </font>
    <font>
      <sz val="10"/>
      <name val="俵俽 僑僔僢僋"/>
      <charset val="134"/>
    </font>
    <font>
      <vertAlign val="superscript"/>
      <sz val="11"/>
      <color theme="1"/>
      <name val="宋体"/>
      <charset val="134"/>
      <scheme val="minor"/>
    </font>
    <font>
      <vertAlign val="superscript"/>
      <sz val="14"/>
      <name val="宋体"/>
      <charset val="134"/>
    </font>
    <font>
      <vertAlign val="subscript"/>
      <sz val="14"/>
      <name val="宋体"/>
      <charset val="134"/>
    </font>
    <font>
      <sz val="10"/>
      <color rgb="FF000000"/>
      <name val="宋体"/>
      <charset val="134"/>
    </font>
    <font>
      <vertAlign val="subscript"/>
      <sz val="10"/>
      <color rgb="FF000000"/>
      <name val="宋体"/>
      <charset val="134"/>
    </font>
    <font>
      <vertAlign val="superscript"/>
      <sz val="10"/>
      <color rgb="FF000000"/>
      <name val="宋体"/>
      <charset val="134"/>
    </font>
    <font>
      <b/>
      <vertAlign val="superscript"/>
      <sz val="14"/>
      <color rgb="FFFF0000"/>
      <name val="宋体"/>
      <charset val="134"/>
    </font>
    <font>
      <sz val="10"/>
      <color indexed="8"/>
      <name val="宋体"/>
      <charset val="134"/>
    </font>
    <font>
      <vertAlign val="subscript"/>
      <sz val="10"/>
      <color indexed="8"/>
      <name val="宋体"/>
      <charset val="134"/>
    </font>
    <font>
      <vertAlign val="superscript"/>
      <sz val="10"/>
      <color indexed="8"/>
      <name val="宋体"/>
      <charset val="134"/>
    </font>
    <font>
      <sz val="9"/>
      <name val="宋体"/>
      <charset val="134"/>
    </font>
    <font>
      <b/>
      <sz val="9"/>
      <name val="Tahoma"/>
      <charset val="134"/>
    </font>
    <font>
      <sz val="9"/>
      <name val="Tahoma"/>
      <charset val="134"/>
    </font>
  </fonts>
  <fills count="6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gray0625"/>
    </fill>
    <fill>
      <patternFill patternType="solid">
        <fgColor indexed="46"/>
        <bgColor indexed="64"/>
      </patternFill>
    </fill>
    <fill>
      <patternFill patternType="solid">
        <fgColor indexed="45"/>
        <bgColor indexed="64"/>
      </patternFill>
    </fill>
    <fill>
      <patternFill patternType="solid">
        <fgColor indexed="45"/>
        <bgColor indexed="45"/>
      </patternFill>
    </fill>
    <fill>
      <patternFill patternType="solid">
        <fgColor indexed="27"/>
        <bgColor indexed="64"/>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style="medium">
        <color auto="1"/>
      </left>
      <right style="hair">
        <color auto="1"/>
      </right>
      <top/>
      <bottom style="hair">
        <color auto="1"/>
      </bottom>
      <diagonal/>
    </border>
    <border>
      <left/>
      <right/>
      <top style="medium">
        <color auto="1"/>
      </top>
      <bottom/>
      <diagonal/>
    </border>
  </borders>
  <cellStyleXfs count="393">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 fillId="6" borderId="32"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3" applyNumberFormat="0" applyFill="0" applyAlignment="0" applyProtection="0">
      <alignment vertical="center"/>
    </xf>
    <xf numFmtId="0" fontId="29" fillId="0" borderId="33" applyNumberFormat="0" applyFill="0" applyAlignment="0" applyProtection="0">
      <alignment vertical="center"/>
    </xf>
    <xf numFmtId="0" fontId="30" fillId="0" borderId="34" applyNumberFormat="0" applyFill="0" applyAlignment="0" applyProtection="0">
      <alignment vertical="center"/>
    </xf>
    <xf numFmtId="0" fontId="30" fillId="0" borderId="0" applyNumberFormat="0" applyFill="0" applyBorder="0" applyAlignment="0" applyProtection="0">
      <alignment vertical="center"/>
    </xf>
    <xf numFmtId="0" fontId="31" fillId="7" borderId="35" applyNumberFormat="0" applyAlignment="0" applyProtection="0">
      <alignment vertical="center"/>
    </xf>
    <xf numFmtId="0" fontId="32" fillId="8" borderId="36" applyNumberFormat="0" applyAlignment="0" applyProtection="0">
      <alignment vertical="center"/>
    </xf>
    <xf numFmtId="0" fontId="33" fillId="8" borderId="35" applyNumberFormat="0" applyAlignment="0" applyProtection="0">
      <alignment vertical="center"/>
    </xf>
    <xf numFmtId="0" fontId="34" fillId="9" borderId="37" applyNumberFormat="0" applyAlignment="0" applyProtection="0">
      <alignment vertical="center"/>
    </xf>
    <xf numFmtId="0" fontId="35" fillId="0" borderId="38" applyNumberFormat="0" applyFill="0" applyAlignment="0" applyProtection="0">
      <alignment vertical="center"/>
    </xf>
    <xf numFmtId="0" fontId="36" fillId="0" borderId="39"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0" fontId="42" fillId="0" borderId="0"/>
    <xf numFmtId="0" fontId="42" fillId="0" borderId="0"/>
    <xf numFmtId="0" fontId="42" fillId="0" borderId="0">
      <alignment vertical="center"/>
    </xf>
    <xf numFmtId="0" fontId="43" fillId="37"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4" fillId="41" borderId="0" applyNumberFormat="0" applyBorder="0" applyAlignment="0" applyProtection="0"/>
    <xf numFmtId="0" fontId="44" fillId="42"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4" fillId="41" borderId="0" applyNumberFormat="0" applyBorder="0" applyAlignment="0" applyProtection="0"/>
    <xf numFmtId="0" fontId="44" fillId="44" borderId="0" applyNumberFormat="0" applyBorder="0" applyAlignment="0" applyProtection="0"/>
    <xf numFmtId="0" fontId="43" fillId="42" borderId="0" applyNumberFormat="0" applyBorder="0" applyAlignment="0" applyProtection="0"/>
    <xf numFmtId="0" fontId="43" fillId="37"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3" fillId="42" borderId="0" applyNumberFormat="0" applyBorder="0" applyAlignment="0" applyProtection="0"/>
    <xf numFmtId="0" fontId="43" fillId="45" borderId="0" applyNumberFormat="0" applyBorder="0" applyAlignment="0" applyProtection="0"/>
    <xf numFmtId="0" fontId="44" fillId="46" borderId="0" applyNumberFormat="0" applyBorder="0" applyAlignment="0" applyProtection="0"/>
    <xf numFmtId="0" fontId="44" fillId="38" borderId="0" applyNumberFormat="0" applyBorder="0" applyAlignment="0" applyProtection="0"/>
    <xf numFmtId="0" fontId="43" fillId="39" borderId="0" applyNumberFormat="0" applyBorder="0" applyAlignment="0" applyProtection="0"/>
    <xf numFmtId="0" fontId="43" fillId="47" borderId="0" applyNumberFormat="0" applyBorder="0" applyAlignment="0" applyProtection="0"/>
    <xf numFmtId="0" fontId="44" fillId="41" borderId="0" applyNumberFormat="0" applyBorder="0" applyAlignment="0" applyProtection="0"/>
    <xf numFmtId="0" fontId="44" fillId="48" borderId="0" applyNumberFormat="0" applyBorder="0" applyAlignment="0" applyProtection="0"/>
    <xf numFmtId="0" fontId="43" fillId="48" borderId="0" applyNumberFormat="0" applyBorder="0" applyAlignment="0" applyProtection="0"/>
    <xf numFmtId="41" fontId="45" fillId="0" borderId="0" applyFont="0" applyFill="0" applyBorder="0" applyAlignment="0" applyProtection="0"/>
    <xf numFmtId="43" fontId="45" fillId="0" borderId="0" applyFont="0" applyFill="0" applyBorder="0" applyAlignment="0" applyProtection="0"/>
    <xf numFmtId="176" fontId="45" fillId="0" borderId="0" applyFont="0" applyFill="0" applyBorder="0" applyAlignment="0" applyProtection="0"/>
    <xf numFmtId="177" fontId="45" fillId="0" borderId="0" applyFont="0" applyFill="0" applyBorder="0" applyAlignment="0" applyProtection="0"/>
    <xf numFmtId="0" fontId="46" fillId="0" borderId="0" applyNumberFormat="0" applyFill="0" applyBorder="0" applyAlignment="0" applyProtection="0"/>
    <xf numFmtId="38" fontId="47" fillId="49" borderId="0" applyBorder="0" applyAlignment="0" applyProtection="0"/>
    <xf numFmtId="0" fontId="48" fillId="0" borderId="40" applyNumberFormat="0" applyAlignment="0" applyProtection="0">
      <alignment horizontal="left" vertical="center"/>
    </xf>
    <xf numFmtId="0" fontId="48" fillId="0" borderId="7">
      <alignment horizontal="left" vertical="center"/>
    </xf>
    <xf numFmtId="0" fontId="49" fillId="0" borderId="0" applyNumberFormat="0" applyFill="0" applyBorder="0" applyAlignment="0" applyProtection="0"/>
    <xf numFmtId="10" fontId="47" fillId="50" borderId="1" applyBorder="0" applyAlignment="0" applyProtection="0"/>
    <xf numFmtId="0" fontId="50" fillId="0" borderId="0" applyNumberFormat="0" applyFill="0" applyBorder="0" applyAlignment="0" applyProtection="0">
      <alignment vertical="center"/>
    </xf>
    <xf numFmtId="178" fontId="51" fillId="0" borderId="0"/>
    <xf numFmtId="0" fontId="52" fillId="0" borderId="0"/>
    <xf numFmtId="10" fontId="42" fillId="0" borderId="0" applyFont="0" applyFill="0" applyBorder="0" applyAlignment="0" applyProtection="0"/>
    <xf numFmtId="0" fontId="46" fillId="51" borderId="41" applyNumberFormat="0" applyFont="0" applyBorder="0" applyAlignment="0" applyProtection="0"/>
    <xf numFmtId="0" fontId="53" fillId="0" borderId="29">
      <alignment horizontal="left"/>
    </xf>
    <xf numFmtId="0" fontId="50" fillId="0" borderId="0" applyNumberFormat="0" applyFill="0" applyBorder="0" applyAlignment="0" applyProtection="0"/>
    <xf numFmtId="0" fontId="46" fillId="0" borderId="7" applyNumberFormat="0" applyFill="0" applyBorder="0" applyAlignment="0" applyProtection="0">
      <alignment horizontal="centerContinuous"/>
    </xf>
    <xf numFmtId="0" fontId="50" fillId="0" borderId="7" applyNumberFormat="0" applyFill="0" applyBorder="0" applyAlignment="0" applyProtection="0">
      <alignment horizontal="centerContinuous"/>
    </xf>
    <xf numFmtId="0" fontId="49" fillId="0" borderId="42" applyNumberFormat="0" applyFill="0" applyBorder="0" applyAlignment="0" applyProtection="0"/>
    <xf numFmtId="0" fontId="54" fillId="0" borderId="0" applyNumberFormat="0" applyFill="0" applyBorder="0" applyAlignment="0" applyProtection="0"/>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2"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6" fillId="54" borderId="0" applyNumberFormat="0" applyBorder="0" applyAlignment="0" applyProtection="0"/>
    <xf numFmtId="0" fontId="56" fillId="54" borderId="0" applyNumberFormat="0" applyBorder="0" applyAlignment="0" applyProtection="0"/>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6" fillId="54" borderId="0" applyNumberFormat="0" applyBorder="0" applyAlignment="0" applyProtection="0"/>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6" fillId="54" borderId="0" applyNumberFormat="0" applyBorder="0" applyAlignment="0" applyProtection="0"/>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6" fillId="54" borderId="0" applyNumberFormat="0" applyBorder="0" applyAlignment="0" applyProtection="0"/>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3"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6" fillId="54" borderId="0" applyNumberFormat="0" applyBorder="0" applyAlignment="0" applyProtection="0"/>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7" fillId="0" borderId="0"/>
    <xf numFmtId="0" fontId="57" fillId="0" borderId="0"/>
    <xf numFmtId="0" fontId="0" fillId="0" borderId="0"/>
    <xf numFmtId="0" fontId="1" fillId="0" borderId="0">
      <alignment vertical="center"/>
    </xf>
    <xf numFmtId="0" fontId="0" fillId="0" borderId="0"/>
    <xf numFmtId="0" fontId="57" fillId="0" borderId="0">
      <alignment vertical="center"/>
    </xf>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0" fillId="0" borderId="0"/>
    <xf numFmtId="0" fontId="57" fillId="0" borderId="0">
      <alignment vertical="center"/>
    </xf>
    <xf numFmtId="0" fontId="57" fillId="0" borderId="0"/>
    <xf numFmtId="0" fontId="0" fillId="0" borderId="0"/>
    <xf numFmtId="0" fontId="57" fillId="0" borderId="0">
      <alignment vertical="center"/>
    </xf>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0" fillId="0" borderId="0"/>
    <xf numFmtId="0" fontId="57" fillId="0" borderId="0">
      <alignment vertical="center"/>
    </xf>
    <xf numFmtId="0" fontId="57" fillId="0" borderId="0"/>
    <xf numFmtId="0" fontId="0" fillId="0" borderId="0"/>
    <xf numFmtId="0" fontId="57" fillId="0" borderId="0"/>
    <xf numFmtId="0" fontId="57" fillId="0" borderId="0"/>
    <xf numFmtId="0" fontId="57" fillId="0" borderId="0"/>
    <xf numFmtId="0" fontId="0" fillId="0" borderId="0">
      <alignment vertical="center"/>
    </xf>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8" fillId="0" borderId="0" applyNumberFormat="0" applyFill="0" applyBorder="0" applyAlignment="0" applyProtection="0">
      <alignment vertical="top"/>
      <protection locked="0"/>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0" fillId="44" borderId="0" applyNumberFormat="0" applyBorder="0" applyAlignment="0" applyProtection="0"/>
    <xf numFmtId="0" fontId="60" fillId="44" borderId="0" applyNumberFormat="0" applyBorder="0" applyAlignment="0" applyProtection="0"/>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0" fillId="44" borderId="0" applyNumberFormat="0" applyBorder="0" applyAlignment="0" applyProtection="0"/>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0" fillId="44" borderId="0" applyNumberFormat="0" applyBorder="0" applyAlignment="0" applyProtection="0"/>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0" fillId="44" borderId="0" applyNumberFormat="0" applyBorder="0" applyAlignment="0" applyProtection="0"/>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0" fillId="44" borderId="0" applyNumberFormat="0" applyBorder="0" applyAlignment="0" applyProtection="0"/>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52" fillId="0" borderId="0"/>
    <xf numFmtId="38" fontId="52" fillId="0" borderId="0" applyFont="0" applyFill="0" applyBorder="0" applyAlignment="0" applyProtection="0"/>
    <xf numFmtId="40" fontId="52" fillId="0" borderId="0" applyFont="0" applyFill="0" applyBorder="0" applyAlignment="0" applyProtection="0"/>
    <xf numFmtId="41" fontId="57" fillId="0" borderId="0" applyFont="0" applyFill="0" applyBorder="0" applyAlignment="0" applyProtection="0"/>
    <xf numFmtId="43" fontId="57" fillId="0" borderId="0" applyFont="0" applyFill="0" applyBorder="0" applyAlignment="0" applyProtection="0"/>
    <xf numFmtId="0" fontId="62" fillId="57" borderId="0" applyNumberFormat="0" applyBorder="0" applyAlignment="0" applyProtection="0"/>
    <xf numFmtId="0" fontId="62" fillId="58" borderId="0" applyNumberFormat="0" applyBorder="0" applyAlignment="0" applyProtection="0"/>
    <xf numFmtId="0" fontId="62" fillId="59" borderId="0" applyNumberFormat="0" applyBorder="0" applyAlignment="0" applyProtection="0"/>
    <xf numFmtId="0" fontId="42" fillId="0" borderId="0"/>
    <xf numFmtId="0" fontId="63" fillId="0" borderId="0"/>
  </cellStyleXfs>
  <cellXfs count="260">
    <xf numFmtId="0" fontId="0" fillId="0" borderId="0" xfId="0"/>
    <xf numFmtId="0" fontId="0" fillId="0" borderId="0" xfId="0" applyAlignment="1">
      <alignment horizontal="center"/>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xf numFmtId="49"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xf>
    <xf numFmtId="0" fontId="0" fillId="0" borderId="1" xfId="0" applyBorder="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left"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179" fontId="1"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left" vertical="center" shrinkToFit="1"/>
    </xf>
    <xf numFmtId="0" fontId="2"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 fillId="0" borderId="1" xfId="0" applyFont="1" applyBorder="1" applyAlignment="1">
      <alignment vertical="center"/>
    </xf>
    <xf numFmtId="0" fontId="1" fillId="3" borderId="1" xfId="0" applyFont="1" applyFill="1" applyBorder="1" applyAlignment="1">
      <alignment horizontal="center" vertical="center"/>
    </xf>
    <xf numFmtId="0" fontId="1" fillId="0"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180" fontId="1" fillId="0" borderId="1" xfId="0" applyNumberFormat="1" applyFont="1" applyBorder="1" applyAlignment="1">
      <alignment horizontal="center" vertical="center"/>
    </xf>
    <xf numFmtId="180" fontId="1" fillId="3"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1" fillId="2" borderId="2" xfId="0" applyFont="1" applyFill="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1" fillId="2" borderId="3" xfId="0" applyFont="1" applyFill="1" applyBorder="1" applyAlignment="1">
      <alignment horizontal="center" vertic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 fillId="2" borderId="4" xfId="0" applyFont="1" applyFill="1" applyBorder="1" applyAlignment="1">
      <alignment horizontal="center" vertical="center"/>
    </xf>
    <xf numFmtId="0" fontId="1" fillId="0" borderId="4" xfId="0" applyFont="1" applyBorder="1" applyAlignment="1">
      <alignment horizontal="left" vertical="center"/>
    </xf>
    <xf numFmtId="0" fontId="1" fillId="0" borderId="4" xfId="0" applyFont="1" applyBorder="1" applyAlignment="1">
      <alignment horizontal="center" vertical="center"/>
    </xf>
    <xf numFmtId="0" fontId="5" fillId="0" borderId="2" xfId="0" applyFont="1" applyBorder="1" applyAlignment="1">
      <alignment horizontal="center" vertical="center"/>
    </xf>
    <xf numFmtId="0" fontId="2" fillId="0" borderId="1" xfId="0" applyFont="1" applyBorder="1" applyAlignment="1">
      <alignment vertical="center" wrapText="1"/>
    </xf>
    <xf numFmtId="180" fontId="5" fillId="3" borderId="1" xfId="0" applyNumberFormat="1" applyFont="1" applyFill="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1" fontId="1" fillId="0" borderId="1" xfId="0" applyNumberFormat="1" applyFont="1" applyBorder="1" applyAlignment="1">
      <alignment horizontal="center" vertical="center"/>
    </xf>
    <xf numFmtId="181" fontId="1" fillId="3" borderId="1" xfId="0" applyNumberFormat="1" applyFont="1" applyFill="1" applyBorder="1" applyAlignment="1">
      <alignment horizontal="center" vertical="center"/>
    </xf>
    <xf numFmtId="182" fontId="1" fillId="0" borderId="1" xfId="0" applyNumberFormat="1" applyFont="1" applyBorder="1" applyAlignment="1">
      <alignment horizontal="center" vertical="center"/>
    </xf>
    <xf numFmtId="182" fontId="1" fillId="3" borderId="1" xfId="0" applyNumberFormat="1" applyFont="1" applyFill="1" applyBorder="1" applyAlignment="1">
      <alignment horizontal="center" vertical="center"/>
    </xf>
    <xf numFmtId="179" fontId="1" fillId="0" borderId="1" xfId="0" applyNumberFormat="1" applyFont="1" applyBorder="1" applyAlignment="1">
      <alignment horizontal="center" vertical="center"/>
    </xf>
    <xf numFmtId="0" fontId="5" fillId="3" borderId="1" xfId="0" applyFont="1" applyFill="1" applyBorder="1" applyAlignment="1">
      <alignment horizontal="center" vertical="center"/>
    </xf>
    <xf numFmtId="0" fontId="3" fillId="0" borderId="0" xfId="0" applyFont="1" applyAlignment="1">
      <alignment vertical="center"/>
    </xf>
    <xf numFmtId="183" fontId="1" fillId="3" borderId="1" xfId="0" applyNumberFormat="1" applyFont="1" applyFill="1" applyBorder="1" applyAlignment="1">
      <alignment horizontal="center" vertical="center"/>
    </xf>
    <xf numFmtId="0" fontId="5" fillId="0" borderId="1" xfId="0" applyFont="1" applyBorder="1" applyAlignment="1">
      <alignment vertical="center"/>
    </xf>
    <xf numFmtId="183" fontId="5" fillId="0" borderId="1" xfId="0" applyNumberFormat="1" applyFont="1" applyBorder="1" applyAlignment="1">
      <alignment horizontal="center" vertical="center"/>
    </xf>
    <xf numFmtId="183" fontId="5" fillId="3" borderId="1" xfId="0" applyNumberFormat="1" applyFont="1" applyFill="1" applyBorder="1" applyAlignment="1">
      <alignment horizontal="center" vertical="center"/>
    </xf>
    <xf numFmtId="0" fontId="6" fillId="0" borderId="0" xfId="0" applyFont="1"/>
    <xf numFmtId="0" fontId="4" fillId="0" borderId="0" xfId="0" applyFont="1"/>
    <xf numFmtId="0" fontId="1" fillId="0" borderId="0" xfId="0" applyFont="1" applyAlignment="1">
      <alignment horizontal="left" vertical="center"/>
    </xf>
    <xf numFmtId="0" fontId="6" fillId="2" borderId="1" xfId="0" applyFont="1" applyFill="1" applyBorder="1" applyAlignment="1">
      <alignment horizontal="center" vertical="center"/>
    </xf>
    <xf numFmtId="181" fontId="6" fillId="2" borderId="1" xfId="0" applyNumberFormat="1" applyFont="1" applyFill="1" applyBorder="1" applyAlignment="1">
      <alignment horizontal="center" vertical="center"/>
    </xf>
    <xf numFmtId="179" fontId="6" fillId="2" borderId="1" xfId="0" applyNumberFormat="1" applyFont="1" applyFill="1" applyBorder="1" applyAlignment="1">
      <alignment horizontal="center" vertical="center"/>
    </xf>
    <xf numFmtId="0" fontId="7" fillId="0" borderId="0" xfId="0" applyFont="1" applyAlignment="1">
      <alignment horizontal="left" vertical="center"/>
    </xf>
    <xf numFmtId="0" fontId="6" fillId="0" borderId="0" xfId="0" applyFont="1" applyAlignment="1">
      <alignmen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181" fontId="4" fillId="0" borderId="1" xfId="0" applyNumberFormat="1" applyFont="1" applyBorder="1" applyAlignment="1">
      <alignment horizontal="center" vertical="center"/>
    </xf>
    <xf numFmtId="179" fontId="4" fillId="0" borderId="1" xfId="0" applyNumberFormat="1" applyFont="1" applyBorder="1" applyAlignment="1">
      <alignment horizontal="center" vertical="center"/>
    </xf>
    <xf numFmtId="0" fontId="8" fillId="0" borderId="0" xfId="0" applyFont="1" applyAlignment="1">
      <alignment horizontal="left" vertical="center"/>
    </xf>
    <xf numFmtId="0" fontId="4" fillId="0" borderId="0" xfId="0" applyFont="1" applyAlignment="1">
      <alignment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1" fillId="0" borderId="1" xfId="0" applyFont="1" applyBorder="1" applyAlignment="1">
      <alignment horizontal="left" vertical="center"/>
    </xf>
    <xf numFmtId="0" fontId="2" fillId="0" borderId="0" xfId="0" applyFont="1" applyAlignment="1">
      <alignment vertical="center"/>
    </xf>
    <xf numFmtId="0" fontId="1" fillId="4" borderId="1" xfId="0" applyFont="1" applyFill="1" applyBorder="1" applyAlignment="1">
      <alignment horizontal="center" vertical="center"/>
    </xf>
    <xf numFmtId="0" fontId="1" fillId="0" borderId="1" xfId="0" applyFont="1" applyBorder="1" applyAlignment="1">
      <alignment horizontal="left" vertical="center" wrapText="1"/>
    </xf>
    <xf numFmtId="0" fontId="10" fillId="0" borderId="1" xfId="0" applyFont="1" applyBorder="1" applyAlignment="1">
      <alignment horizontal="center" vertical="center"/>
    </xf>
    <xf numFmtId="0" fontId="9" fillId="0" borderId="1" xfId="0" applyFont="1" applyBorder="1" applyAlignment="1">
      <alignmen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9" fillId="0" borderId="7" xfId="0" applyFont="1" applyBorder="1" applyAlignment="1">
      <alignment horizontal="left" vertical="center"/>
    </xf>
    <xf numFmtId="0" fontId="9" fillId="0" borderId="6" xfId="0" applyFont="1" applyBorder="1" applyAlignment="1">
      <alignment horizontal="center" vertical="center"/>
    </xf>
    <xf numFmtId="182" fontId="1" fillId="0" borderId="0" xfId="0" applyNumberFormat="1" applyFont="1" applyAlignment="1">
      <alignment horizontal="center" vertical="center"/>
    </xf>
    <xf numFmtId="0" fontId="1" fillId="2" borderId="0" xfId="0" applyFont="1" applyFill="1" applyAlignment="1">
      <alignment vertical="center"/>
    </xf>
    <xf numFmtId="0" fontId="3" fillId="0" borderId="5" xfId="0" applyFont="1" applyBorder="1" applyAlignment="1">
      <alignment horizontal="left" vertical="center"/>
    </xf>
    <xf numFmtId="0" fontId="3" fillId="0" borderId="7" xfId="0" applyFont="1" applyBorder="1" applyAlignment="1">
      <alignment horizontal="left" vertical="center"/>
    </xf>
    <xf numFmtId="0" fontId="3" fillId="0" borderId="6" xfId="0" applyFont="1" applyBorder="1" applyAlignment="1">
      <alignment horizontal="center" vertical="center"/>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6" fillId="0" borderId="0" xfId="0" applyFont="1" applyAlignment="1">
      <alignment horizontal="center" vertical="center"/>
    </xf>
    <xf numFmtId="0" fontId="6" fillId="0" borderId="0" xfId="0" applyFont="1" applyFill="1" applyAlignment="1">
      <alignment vertical="center"/>
    </xf>
    <xf numFmtId="0" fontId="6" fillId="0" borderId="0" xfId="223" applyFont="1" applyAlignment="1">
      <alignment vertical="center"/>
    </xf>
    <xf numFmtId="0" fontId="6" fillId="0" borderId="0" xfId="0" applyFont="1" applyAlignment="1">
      <alignment horizontal="left" vertical="center"/>
    </xf>
    <xf numFmtId="179" fontId="6" fillId="0" borderId="0" xfId="0" applyNumberFormat="1" applyFont="1" applyAlignment="1">
      <alignment horizontal="center" vertical="center"/>
    </xf>
    <xf numFmtId="0" fontId="11" fillId="0" borderId="0" xfId="0" applyFont="1" applyAlignment="1">
      <alignment horizontal="left" vertical="center"/>
    </xf>
    <xf numFmtId="0" fontId="6" fillId="0" borderId="1" xfId="223" applyFont="1" applyBorder="1" applyAlignment="1">
      <alignment horizontal="center" vertical="center"/>
    </xf>
    <xf numFmtId="0" fontId="6" fillId="0" borderId="1" xfId="223" applyFont="1" applyBorder="1" applyAlignment="1">
      <alignment vertical="center"/>
    </xf>
    <xf numFmtId="0" fontId="12" fillId="5" borderId="1" xfId="0" applyFont="1" applyFill="1" applyBorder="1" applyAlignment="1">
      <alignment horizontal="left" vertical="center"/>
    </xf>
    <xf numFmtId="0" fontId="6" fillId="0" borderId="1" xfId="0" applyFont="1" applyBorder="1" applyAlignment="1">
      <alignment horizontal="left" vertical="center"/>
    </xf>
    <xf numFmtId="179" fontId="6" fillId="0" borderId="1" xfId="0" applyNumberFormat="1" applyFont="1" applyBorder="1" applyAlignment="1">
      <alignment horizontal="center" vertical="center"/>
    </xf>
    <xf numFmtId="182" fontId="13" fillId="0" borderId="1" xfId="222" applyNumberFormat="1" applyFont="1" applyBorder="1" applyAlignment="1">
      <alignment horizontal="center" vertical="center"/>
    </xf>
    <xf numFmtId="179" fontId="13" fillId="0" borderId="1" xfId="222" applyNumberFormat="1" applyFont="1" applyBorder="1" applyAlignment="1">
      <alignment horizontal="center" vertical="center"/>
    </xf>
    <xf numFmtId="182" fontId="14" fillId="5" borderId="1" xfId="222" applyNumberFormat="1" applyFont="1" applyFill="1" applyBorder="1" applyAlignment="1">
      <alignment horizontal="left" vertical="center"/>
    </xf>
    <xf numFmtId="179" fontId="14" fillId="5" borderId="1" xfId="222" applyNumberFormat="1" applyFont="1" applyFill="1" applyBorder="1" applyAlignment="1">
      <alignment horizontal="left" vertical="center"/>
    </xf>
    <xf numFmtId="182" fontId="13" fillId="0" borderId="1" xfId="222" applyNumberFormat="1" applyFont="1" applyBorder="1" applyAlignment="1">
      <alignment horizontal="left" vertical="center"/>
    </xf>
    <xf numFmtId="179" fontId="6" fillId="3" borderId="1" xfId="0" applyNumberFormat="1" applyFont="1" applyFill="1" applyBorder="1" applyAlignment="1">
      <alignment horizontal="center" vertical="center"/>
    </xf>
    <xf numFmtId="0" fontId="6" fillId="0" borderId="1" xfId="0" applyFont="1" applyBorder="1" applyAlignment="1">
      <alignment horizontal="left" vertical="center" wrapText="1"/>
    </xf>
    <xf numFmtId="180" fontId="6" fillId="2" borderId="1" xfId="0" applyNumberFormat="1" applyFont="1" applyFill="1" applyBorder="1" applyAlignment="1">
      <alignment horizontal="center" vertical="center"/>
    </xf>
    <xf numFmtId="182" fontId="13" fillId="3" borderId="1" xfId="222" applyNumberFormat="1" applyFont="1" applyFill="1" applyBorder="1" applyAlignment="1">
      <alignment horizontal="center" vertical="center"/>
    </xf>
    <xf numFmtId="182" fontId="13" fillId="0" borderId="2" xfId="222" applyNumberFormat="1" applyFont="1" applyBorder="1" applyAlignment="1">
      <alignment horizontal="center" vertical="center"/>
    </xf>
    <xf numFmtId="182" fontId="13" fillId="0" borderId="1" xfId="222" applyNumberFormat="1" applyFont="1" applyFill="1" applyBorder="1" applyAlignment="1">
      <alignment horizontal="center" vertical="center"/>
    </xf>
    <xf numFmtId="182" fontId="13" fillId="0" borderId="3" xfId="222" applyNumberFormat="1" applyFont="1" applyBorder="1" applyAlignment="1">
      <alignment horizontal="center" vertical="center"/>
    </xf>
    <xf numFmtId="0" fontId="11" fillId="0" borderId="0" xfId="0" applyFont="1" applyAlignment="1">
      <alignment horizontal="left" vertical="center" wrapText="1"/>
    </xf>
    <xf numFmtId="182" fontId="14" fillId="0" borderId="1" xfId="222" applyNumberFormat="1" applyFont="1" applyBorder="1" applyAlignment="1">
      <alignment horizontal="center" vertical="center"/>
    </xf>
    <xf numFmtId="179" fontId="13" fillId="2" borderId="1" xfId="222" applyNumberFormat="1" applyFont="1" applyFill="1" applyBorder="1" applyAlignment="1">
      <alignment horizontal="center" vertical="center"/>
    </xf>
    <xf numFmtId="182" fontId="13" fillId="0" borderId="4" xfId="222" applyNumberFormat="1" applyFont="1" applyBorder="1" applyAlignment="1">
      <alignment horizontal="center" vertical="center"/>
    </xf>
    <xf numFmtId="182" fontId="13" fillId="0" borderId="1" xfId="222" applyNumberFormat="1" applyFont="1" applyBorder="1" applyAlignment="1">
      <alignment vertical="center"/>
    </xf>
    <xf numFmtId="182" fontId="14" fillId="5" borderId="1" xfId="222" applyNumberFormat="1" applyFont="1" applyFill="1" applyBorder="1" applyAlignment="1">
      <alignment horizontal="center" vertical="center"/>
    </xf>
    <xf numFmtId="179" fontId="13" fillId="0" borderId="1" xfId="222" applyNumberFormat="1" applyFont="1" applyBorder="1" applyAlignment="1">
      <alignment horizontal="left" vertical="center"/>
    </xf>
    <xf numFmtId="183" fontId="13" fillId="0" borderId="1" xfId="222" applyNumberFormat="1" applyFont="1" applyBorder="1" applyAlignment="1">
      <alignment horizontal="center" vertical="center"/>
    </xf>
    <xf numFmtId="183" fontId="13" fillId="0" borderId="1" xfId="222" applyNumberFormat="1" applyFont="1" applyBorder="1" applyAlignment="1">
      <alignment horizontal="left" vertical="center"/>
    </xf>
    <xf numFmtId="179" fontId="12" fillId="5" borderId="1" xfId="0" applyNumberFormat="1" applyFont="1" applyFill="1" applyBorder="1" applyAlignment="1">
      <alignment horizontal="left" vertical="center"/>
    </xf>
    <xf numFmtId="0" fontId="12" fillId="0" borderId="1" xfId="0" applyFont="1" applyBorder="1" applyAlignment="1">
      <alignment horizontal="left" vertical="center"/>
    </xf>
    <xf numFmtId="49" fontId="6" fillId="0" borderId="1" xfId="0" applyNumberFormat="1" applyFont="1" applyBorder="1" applyAlignment="1">
      <alignment horizontal="center" vertical="center"/>
    </xf>
    <xf numFmtId="0" fontId="13" fillId="0" borderId="1" xfId="222" applyFont="1" applyBorder="1" applyAlignment="1">
      <alignment horizontal="center" vertical="center"/>
    </xf>
    <xf numFmtId="0" fontId="13" fillId="0" borderId="1" xfId="222" applyFont="1" applyBorder="1" applyAlignment="1">
      <alignment horizontal="left" vertical="center"/>
    </xf>
    <xf numFmtId="0" fontId="6" fillId="0" borderId="1" xfId="0" applyFont="1" applyBorder="1" applyAlignment="1">
      <alignment horizontal="center" vertical="center" wrapText="1"/>
    </xf>
    <xf numFmtId="0" fontId="13" fillId="3" borderId="1" xfId="222" applyFont="1" applyFill="1" applyBorder="1" applyAlignment="1">
      <alignment horizontal="center" vertical="center"/>
    </xf>
    <xf numFmtId="0" fontId="6" fillId="0" borderId="1" xfId="223" applyFont="1" applyFill="1" applyBorder="1" applyAlignment="1">
      <alignment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7" fillId="0" borderId="0" xfId="0" applyFont="1" applyFill="1" applyAlignment="1">
      <alignment horizontal="left" vertical="center"/>
    </xf>
    <xf numFmtId="0" fontId="6" fillId="0" borderId="5" xfId="0" applyFont="1" applyFill="1" applyBorder="1" applyAlignment="1">
      <alignment horizontal="center" vertical="center"/>
    </xf>
    <xf numFmtId="0" fontId="6" fillId="0" borderId="7" xfId="0" applyFont="1" applyFill="1" applyBorder="1" applyAlignment="1">
      <alignment horizontal="left" vertical="center"/>
    </xf>
    <xf numFmtId="0" fontId="6" fillId="0" borderId="6" xfId="0" applyFont="1" applyFill="1" applyBorder="1" applyAlignment="1">
      <alignment horizontal="center" vertical="center"/>
    </xf>
    <xf numFmtId="0" fontId="12" fillId="5" borderId="5" xfId="0" applyFont="1" applyFill="1" applyBorder="1" applyAlignment="1">
      <alignment horizontal="left" vertical="center"/>
    </xf>
    <xf numFmtId="0" fontId="12" fillId="5" borderId="7" xfId="0" applyFont="1" applyFill="1" applyBorder="1" applyAlignment="1">
      <alignment horizontal="left" vertical="center"/>
    </xf>
    <xf numFmtId="0" fontId="12" fillId="5" borderId="6" xfId="0" applyFont="1" applyFill="1" applyBorder="1" applyAlignment="1">
      <alignment horizontal="left" vertical="center"/>
    </xf>
    <xf numFmtId="179" fontId="6" fillId="0" borderId="1" xfId="0" applyNumberFormat="1" applyFont="1" applyBorder="1" applyAlignment="1">
      <alignment horizontal="left" vertical="center"/>
    </xf>
    <xf numFmtId="0" fontId="6" fillId="0" borderId="0" xfId="0" applyFont="1" applyAlignment="1">
      <alignment horizontal="center"/>
    </xf>
    <xf numFmtId="181" fontId="6" fillId="0" borderId="0" xfId="0" applyNumberFormat="1" applyFont="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181" fontId="6" fillId="2" borderId="9" xfId="0" applyNumberFormat="1" applyFont="1" applyFill="1" applyBorder="1" applyAlignment="1">
      <alignment horizontal="center" vertical="center"/>
    </xf>
    <xf numFmtId="179" fontId="6" fillId="2" borderId="10" xfId="0" applyNumberFormat="1" applyFont="1" applyFill="1" applyBorder="1" applyAlignment="1">
      <alignment horizontal="center" vertical="center"/>
    </xf>
    <xf numFmtId="0" fontId="12" fillId="5" borderId="11" xfId="0" applyFont="1" applyFill="1" applyBorder="1" applyAlignment="1">
      <alignment horizontal="left" vertical="center"/>
    </xf>
    <xf numFmtId="0" fontId="12" fillId="5" borderId="12" xfId="0" applyFont="1" applyFill="1" applyBorder="1" applyAlignment="1">
      <alignment horizontal="left" vertical="center"/>
    </xf>
    <xf numFmtId="0" fontId="12" fillId="5" borderId="12" xfId="0" applyFont="1" applyFill="1" applyBorder="1" applyAlignment="1">
      <alignment horizontal="center" vertical="center"/>
    </xf>
    <xf numFmtId="0" fontId="12" fillId="5" borderId="13" xfId="0" applyFont="1" applyFill="1" applyBorder="1" applyAlignment="1">
      <alignment horizontal="left" vertical="center"/>
    </xf>
    <xf numFmtId="0" fontId="6" fillId="0" borderId="14" xfId="0" applyFont="1" applyBorder="1" applyAlignment="1">
      <alignment horizontal="center" vertical="center"/>
    </xf>
    <xf numFmtId="181" fontId="6" fillId="0" borderId="1" xfId="0" applyNumberFormat="1" applyFont="1" applyBorder="1" applyAlignment="1">
      <alignment horizontal="center" vertical="center"/>
    </xf>
    <xf numFmtId="179" fontId="6" fillId="0" borderId="15" xfId="0" applyNumberFormat="1" applyFont="1" applyBorder="1" applyAlignment="1">
      <alignment horizontal="center" vertical="center"/>
    </xf>
    <xf numFmtId="182" fontId="13" fillId="0" borderId="14" xfId="222" applyNumberFormat="1" applyFont="1" applyBorder="1" applyAlignment="1">
      <alignment horizontal="center" vertical="center"/>
    </xf>
    <xf numFmtId="179" fontId="13" fillId="0" borderId="15" xfId="222" applyNumberFormat="1" applyFont="1" applyBorder="1" applyAlignment="1">
      <alignment horizontal="center" vertical="center"/>
    </xf>
    <xf numFmtId="182" fontId="13" fillId="0" borderId="16" xfId="222" applyNumberFormat="1" applyFont="1" applyBorder="1" applyAlignment="1">
      <alignment horizontal="center" vertical="center"/>
    </xf>
    <xf numFmtId="0" fontId="6" fillId="0" borderId="17" xfId="0" applyFont="1" applyBorder="1" applyAlignment="1">
      <alignment horizontal="left" vertical="center"/>
    </xf>
    <xf numFmtId="0" fontId="6" fillId="0" borderId="17" xfId="0" applyFont="1" applyBorder="1" applyAlignment="1">
      <alignment horizontal="center" vertical="center"/>
    </xf>
    <xf numFmtId="181" fontId="6" fillId="0" borderId="17" xfId="0" applyNumberFormat="1" applyFont="1" applyBorder="1" applyAlignment="1">
      <alignment horizontal="center" vertical="center"/>
    </xf>
    <xf numFmtId="179" fontId="13" fillId="0" borderId="18" xfId="222" applyNumberFormat="1" applyFont="1" applyBorder="1" applyAlignment="1">
      <alignment horizontal="center" vertical="center"/>
    </xf>
    <xf numFmtId="182" fontId="14" fillId="5" borderId="11" xfId="222" applyNumberFormat="1" applyFont="1" applyFill="1" applyBorder="1" applyAlignment="1">
      <alignment horizontal="left" vertical="center"/>
    </xf>
    <xf numFmtId="182" fontId="14" fillId="5" borderId="12" xfId="222" applyNumberFormat="1" applyFont="1" applyFill="1" applyBorder="1" applyAlignment="1">
      <alignment horizontal="left" vertical="center"/>
    </xf>
    <xf numFmtId="182" fontId="14" fillId="5" borderId="12" xfId="222" applyNumberFormat="1" applyFont="1" applyFill="1" applyBorder="1" applyAlignment="1">
      <alignment horizontal="center" vertical="center"/>
    </xf>
    <xf numFmtId="179" fontId="14" fillId="5" borderId="13" xfId="222" applyNumberFormat="1" applyFont="1" applyFill="1" applyBorder="1" applyAlignment="1">
      <alignment horizontal="left" vertical="center"/>
    </xf>
    <xf numFmtId="182" fontId="13" fillId="0" borderId="14" xfId="222" applyNumberFormat="1" applyFont="1" applyBorder="1" applyAlignment="1">
      <alignment horizontal="left" vertical="center"/>
    </xf>
    <xf numFmtId="0" fontId="6" fillId="0" borderId="19" xfId="0" applyFont="1" applyBorder="1" applyAlignment="1">
      <alignment horizontal="center" vertical="center"/>
    </xf>
    <xf numFmtId="0" fontId="6" fillId="0" borderId="2" xfId="0" applyFont="1" applyBorder="1" applyAlignment="1">
      <alignment horizontal="left" vertical="center"/>
    </xf>
    <xf numFmtId="0" fontId="6" fillId="0" borderId="20" xfId="0" applyFont="1" applyBorder="1" applyAlignment="1">
      <alignment horizontal="center" vertical="center"/>
    </xf>
    <xf numFmtId="0" fontId="6" fillId="0" borderId="4" xfId="0" applyFont="1" applyBorder="1" applyAlignment="1">
      <alignment horizontal="left" vertical="center"/>
    </xf>
    <xf numFmtId="0" fontId="6" fillId="0" borderId="21" xfId="0" applyFont="1" applyBorder="1" applyAlignment="1">
      <alignment horizontal="center" vertical="center"/>
    </xf>
    <xf numFmtId="179" fontId="6" fillId="3" borderId="15" xfId="0" applyNumberFormat="1" applyFont="1" applyFill="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xf>
    <xf numFmtId="182" fontId="13" fillId="3" borderId="15" xfId="222" applyNumberFormat="1" applyFont="1" applyFill="1" applyBorder="1" applyAlignment="1">
      <alignment horizontal="center" vertical="center"/>
    </xf>
    <xf numFmtId="182" fontId="14" fillId="5" borderId="14" xfId="222" applyNumberFormat="1" applyFont="1" applyFill="1" applyBorder="1" applyAlignment="1">
      <alignment horizontal="left" vertical="center"/>
    </xf>
    <xf numFmtId="182" fontId="14" fillId="5" borderId="15" xfId="222" applyNumberFormat="1" applyFont="1" applyFill="1" applyBorder="1" applyAlignment="1">
      <alignment horizontal="left" vertical="center"/>
    </xf>
    <xf numFmtId="182" fontId="13" fillId="0" borderId="15" xfId="222" applyNumberFormat="1" applyFont="1" applyBorder="1" applyAlignment="1">
      <alignment horizontal="center" vertical="center"/>
    </xf>
    <xf numFmtId="182" fontId="14" fillId="5" borderId="22" xfId="222" applyNumberFormat="1" applyFont="1" applyFill="1" applyBorder="1" applyAlignment="1">
      <alignment horizontal="left" vertical="center"/>
    </xf>
    <xf numFmtId="182" fontId="14" fillId="5" borderId="7" xfId="222" applyNumberFormat="1" applyFont="1" applyFill="1" applyBorder="1" applyAlignment="1">
      <alignment horizontal="left" vertical="center"/>
    </xf>
    <xf numFmtId="182" fontId="14" fillId="5" borderId="7" xfId="222" applyNumberFormat="1" applyFont="1" applyFill="1" applyBorder="1" applyAlignment="1">
      <alignment horizontal="center" vertical="center"/>
    </xf>
    <xf numFmtId="182" fontId="14" fillId="5" borderId="23" xfId="222" applyNumberFormat="1" applyFont="1" applyFill="1" applyBorder="1" applyAlignment="1">
      <alignment horizontal="left" vertical="center"/>
    </xf>
    <xf numFmtId="182" fontId="14" fillId="0" borderId="14" xfId="222" applyNumberFormat="1" applyFont="1" applyBorder="1" applyAlignment="1">
      <alignment horizontal="center" vertical="center"/>
    </xf>
    <xf numFmtId="179" fontId="13" fillId="3" borderId="15" xfId="222" applyNumberFormat="1" applyFont="1" applyFill="1" applyBorder="1" applyAlignment="1">
      <alignment horizontal="center" vertical="center"/>
    </xf>
    <xf numFmtId="0" fontId="7" fillId="0" borderId="0" xfId="0" applyFont="1" applyAlignment="1">
      <alignment horizontal="left" vertical="center" wrapText="1"/>
    </xf>
    <xf numFmtId="182" fontId="13" fillId="0" borderId="19" xfId="222" applyNumberFormat="1" applyFont="1" applyBorder="1" applyAlignment="1">
      <alignment horizontal="center" vertical="center"/>
    </xf>
    <xf numFmtId="182" fontId="13" fillId="0" borderId="1" xfId="222" applyNumberFormat="1" applyFont="1" applyBorder="1">
      <alignment vertical="center"/>
    </xf>
    <xf numFmtId="182" fontId="13" fillId="0" borderId="20" xfId="222" applyNumberFormat="1" applyFont="1" applyBorder="1" applyAlignment="1">
      <alignment horizontal="center" vertical="center"/>
    </xf>
    <xf numFmtId="182" fontId="14" fillId="0" borderId="14" xfId="222" applyNumberFormat="1" applyFont="1" applyBorder="1" applyAlignment="1">
      <alignment horizontal="left" vertical="center"/>
    </xf>
    <xf numFmtId="182" fontId="14" fillId="0" borderId="1" xfId="222" applyNumberFormat="1" applyFont="1" applyBorder="1" applyAlignment="1">
      <alignment horizontal="left" vertical="center"/>
    </xf>
    <xf numFmtId="179" fontId="13" fillId="0" borderId="14" xfId="222" applyNumberFormat="1" applyFont="1" applyBorder="1" applyAlignment="1">
      <alignment horizontal="center" vertical="center"/>
    </xf>
    <xf numFmtId="183" fontId="13" fillId="0" borderId="14" xfId="222" applyNumberFormat="1" applyFont="1" applyBorder="1" applyAlignment="1">
      <alignment horizontal="center" vertical="center"/>
    </xf>
    <xf numFmtId="0" fontId="6" fillId="0" borderId="2" xfId="0" applyFont="1" applyBorder="1" applyAlignment="1">
      <alignment horizontal="center" vertical="center"/>
    </xf>
    <xf numFmtId="179" fontId="6" fillId="3" borderId="24" xfId="0" applyNumberFormat="1" applyFont="1" applyFill="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left" vertical="center"/>
    </xf>
    <xf numFmtId="179" fontId="6" fillId="3" borderId="18" xfId="0" applyNumberFormat="1" applyFont="1" applyFill="1" applyBorder="1" applyAlignment="1">
      <alignment horizontal="center" vertical="center"/>
    </xf>
    <xf numFmtId="0" fontId="6" fillId="0" borderId="16" xfId="0" applyFont="1" applyBorder="1" applyAlignment="1">
      <alignment horizontal="center" vertical="center"/>
    </xf>
    <xf numFmtId="181" fontId="6" fillId="0" borderId="27" xfId="0" applyNumberFormat="1" applyFont="1" applyBorder="1" applyAlignment="1">
      <alignment horizontal="center" vertical="center"/>
    </xf>
    <xf numFmtId="0" fontId="12" fillId="5" borderId="28" xfId="0" applyFont="1" applyFill="1" applyBorder="1" applyAlignment="1">
      <alignment horizontal="left" vertical="center"/>
    </xf>
    <xf numFmtId="0" fontId="12" fillId="5" borderId="29" xfId="0" applyFont="1" applyFill="1" applyBorder="1" applyAlignment="1">
      <alignment horizontal="left" vertical="center"/>
    </xf>
    <xf numFmtId="0" fontId="12" fillId="5" borderId="29" xfId="0" applyFont="1" applyFill="1" applyBorder="1" applyAlignment="1">
      <alignment horizontal="center" vertical="center"/>
    </xf>
    <xf numFmtId="179" fontId="12" fillId="5" borderId="30" xfId="0" applyNumberFormat="1" applyFont="1" applyFill="1" applyBorder="1" applyAlignment="1">
      <alignment horizontal="left" vertical="center"/>
    </xf>
    <xf numFmtId="0" fontId="6" fillId="3" borderId="15" xfId="0" applyFont="1" applyFill="1" applyBorder="1" applyAlignment="1">
      <alignment horizontal="center" vertical="center"/>
    </xf>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12" fillId="0" borderId="17" xfId="0" applyFont="1" applyBorder="1" applyAlignment="1">
      <alignment horizontal="center" vertical="center"/>
    </xf>
    <xf numFmtId="179" fontId="12" fillId="5" borderId="13" xfId="0" applyNumberFormat="1" applyFont="1" applyFill="1" applyBorder="1" applyAlignment="1">
      <alignment horizontal="left" vertical="center"/>
    </xf>
    <xf numFmtId="0" fontId="6" fillId="0" borderId="4" xfId="0" applyFont="1" applyBorder="1" applyAlignment="1">
      <alignment horizontal="center" vertical="center"/>
    </xf>
    <xf numFmtId="0" fontId="6" fillId="0" borderId="31" xfId="0" applyFont="1" applyBorder="1" applyAlignment="1">
      <alignment horizontal="center" vertical="center"/>
    </xf>
    <xf numFmtId="49" fontId="6" fillId="0" borderId="14" xfId="0" applyNumberFormat="1" applyFont="1" applyBorder="1" applyAlignment="1">
      <alignment horizontal="center" vertical="center"/>
    </xf>
    <xf numFmtId="0" fontId="13" fillId="0" borderId="14" xfId="222" applyFont="1" applyBorder="1" applyAlignment="1">
      <alignment horizontal="center" vertical="center"/>
    </xf>
    <xf numFmtId="0" fontId="13" fillId="3" borderId="15" xfId="222" applyFont="1" applyFill="1" applyBorder="1" applyAlignment="1">
      <alignment horizontal="center" vertical="center"/>
    </xf>
    <xf numFmtId="0" fontId="13" fillId="0" borderId="16" xfId="222" applyFont="1" applyBorder="1" applyAlignment="1">
      <alignment horizontal="center" vertical="center"/>
    </xf>
    <xf numFmtId="0" fontId="13" fillId="3" borderId="18" xfId="222" applyFont="1" applyFill="1" applyBorder="1" applyAlignment="1">
      <alignment horizontal="center" vertical="center"/>
    </xf>
    <xf numFmtId="182" fontId="13" fillId="0" borderId="2" xfId="222" applyNumberFormat="1" applyFont="1" applyBorder="1" applyAlignment="1">
      <alignment horizontal="left" vertical="center"/>
    </xf>
    <xf numFmtId="182" fontId="13" fillId="0" borderId="3" xfId="222" applyNumberFormat="1" applyFont="1" applyBorder="1" applyAlignment="1">
      <alignment horizontal="left" vertical="center"/>
    </xf>
    <xf numFmtId="182" fontId="13" fillId="0" borderId="4" xfId="222" applyNumberFormat="1" applyFont="1" applyBorder="1" applyAlignment="1">
      <alignment horizontal="left" vertical="center"/>
    </xf>
    <xf numFmtId="182" fontId="13" fillId="0" borderId="26" xfId="222" applyNumberFormat="1" applyFont="1" applyBorder="1" applyAlignment="1">
      <alignment horizontal="left" vertical="center"/>
    </xf>
    <xf numFmtId="0" fontId="6" fillId="3" borderId="18" xfId="0" applyFont="1" applyFill="1" applyBorder="1" applyAlignment="1">
      <alignment horizontal="center" vertical="center"/>
    </xf>
    <xf numFmtId="0" fontId="12" fillId="5" borderId="30" xfId="0" applyFont="1" applyFill="1" applyBorder="1" applyAlignment="1">
      <alignment horizontal="left" vertical="center"/>
    </xf>
    <xf numFmtId="0" fontId="15" fillId="0" borderId="0" xfId="0" applyFont="1" applyAlignment="1">
      <alignment horizontal="center" vertical="center"/>
    </xf>
    <xf numFmtId="0" fontId="15" fillId="0" borderId="0" xfId="0" applyFont="1" applyAlignment="1">
      <alignment horizontal="left" vertical="center"/>
    </xf>
    <xf numFmtId="181" fontId="15" fillId="0" borderId="0" xfId="0" applyNumberFormat="1" applyFont="1" applyAlignment="1">
      <alignment horizontal="center" vertical="center"/>
    </xf>
    <xf numFmtId="179" fontId="15" fillId="0" borderId="0" xfId="0" applyNumberFormat="1" applyFont="1" applyAlignment="1">
      <alignment horizontal="center" vertical="center"/>
    </xf>
    <xf numFmtId="0" fontId="15" fillId="0" borderId="0" xfId="0" applyFont="1" applyAlignment="1">
      <alignment vertical="center"/>
    </xf>
    <xf numFmtId="0" fontId="15" fillId="0" borderId="0" xfId="0" applyFont="1"/>
    <xf numFmtId="0" fontId="15" fillId="0" borderId="1" xfId="0" applyFont="1" applyBorder="1" applyAlignment="1">
      <alignment horizontal="center" vertical="center"/>
    </xf>
    <xf numFmtId="181" fontId="15" fillId="0" borderId="1" xfId="0" applyNumberFormat="1" applyFont="1" applyBorder="1" applyAlignment="1">
      <alignment horizontal="center" vertical="center"/>
    </xf>
    <xf numFmtId="179" fontId="15" fillId="0" borderId="1" xfId="0" applyNumberFormat="1" applyFont="1" applyBorder="1" applyAlignment="1">
      <alignment horizontal="center" vertical="center"/>
    </xf>
    <xf numFmtId="182" fontId="16" fillId="0" borderId="5" xfId="222" applyNumberFormat="1" applyFont="1" applyBorder="1" applyAlignment="1">
      <alignment horizontal="left" vertical="center"/>
    </xf>
    <xf numFmtId="182" fontId="16" fillId="0" borderId="7" xfId="222" applyNumberFormat="1" applyFont="1" applyBorder="1" applyAlignment="1">
      <alignment horizontal="left" vertical="center"/>
    </xf>
    <xf numFmtId="179" fontId="16" fillId="0" borderId="6" xfId="222" applyNumberFormat="1" applyFont="1" applyBorder="1" applyAlignment="1">
      <alignment horizontal="left" vertical="center"/>
    </xf>
    <xf numFmtId="0" fontId="15" fillId="0" borderId="1" xfId="0" applyFont="1" applyBorder="1" applyAlignment="1">
      <alignment horizontal="left" vertical="center"/>
    </xf>
    <xf numFmtId="181" fontId="17" fillId="0" borderId="1" xfId="0" applyNumberFormat="1" applyFont="1" applyBorder="1" applyAlignment="1">
      <alignment horizontal="center" vertical="center"/>
    </xf>
    <xf numFmtId="179" fontId="17" fillId="0" borderId="1" xfId="0" applyNumberFormat="1" applyFont="1" applyBorder="1" applyAlignment="1">
      <alignment horizontal="center" vertical="center"/>
    </xf>
    <xf numFmtId="179" fontId="17" fillId="3" borderId="1" xfId="0" applyNumberFormat="1" applyFont="1" applyFill="1" applyBorder="1" applyAlignment="1">
      <alignment horizontal="center" vertical="center"/>
    </xf>
    <xf numFmtId="182" fontId="18" fillId="0" borderId="1" xfId="222" applyNumberFormat="1" applyFont="1" applyBorder="1" applyAlignment="1">
      <alignment horizontal="center" vertical="center"/>
    </xf>
    <xf numFmtId="179" fontId="18" fillId="0" borderId="1" xfId="222" applyNumberFormat="1" applyFont="1" applyBorder="1" applyAlignment="1">
      <alignment horizontal="left" vertical="center"/>
    </xf>
    <xf numFmtId="179" fontId="15" fillId="3" borderId="1" xfId="0" applyNumberFormat="1" applyFont="1" applyFill="1" applyBorder="1" applyAlignment="1">
      <alignment horizontal="center" vertical="center"/>
    </xf>
    <xf numFmtId="179" fontId="18" fillId="0" borderId="1" xfId="222" applyNumberFormat="1" applyFont="1" applyBorder="1" applyAlignment="1">
      <alignment horizontal="center" vertical="center"/>
    </xf>
    <xf numFmtId="183" fontId="19" fillId="0" borderId="1" xfId="222" applyNumberFormat="1" applyFont="1" applyBorder="1" applyAlignment="1">
      <alignment horizontal="center" vertical="center"/>
    </xf>
    <xf numFmtId="183" fontId="19" fillId="0" borderId="1" xfId="222" applyNumberFormat="1" applyFont="1" applyBorder="1" applyAlignment="1">
      <alignment horizontal="left" vertical="center"/>
    </xf>
    <xf numFmtId="0" fontId="17" fillId="0" borderId="1" xfId="0" applyFont="1" applyBorder="1" applyAlignment="1">
      <alignment horizontal="center" vertical="center"/>
    </xf>
    <xf numFmtId="0" fontId="15" fillId="0" borderId="1" xfId="0" applyFont="1" applyBorder="1" applyAlignment="1">
      <alignment horizontal="left" vertical="center" wrapText="1"/>
    </xf>
    <xf numFmtId="0" fontId="20" fillId="0" borderId="5" xfId="0" applyFont="1" applyBorder="1" applyAlignment="1">
      <alignment horizontal="left" vertical="center"/>
    </xf>
    <xf numFmtId="0" fontId="20" fillId="0" borderId="7" xfId="0" applyFont="1" applyBorder="1" applyAlignment="1">
      <alignment horizontal="left" vertical="center"/>
    </xf>
    <xf numFmtId="179" fontId="20" fillId="0" borderId="6" xfId="0" applyNumberFormat="1" applyFont="1" applyBorder="1" applyAlignment="1">
      <alignment horizontal="left" vertical="center"/>
    </xf>
    <xf numFmtId="0" fontId="15" fillId="0" borderId="2" xfId="0" applyFont="1" applyBorder="1" applyAlignment="1">
      <alignment horizontal="center" vertical="center"/>
    </xf>
    <xf numFmtId="0" fontId="15" fillId="0" borderId="4" xfId="0" applyFont="1" applyBorder="1" applyAlignment="1">
      <alignment horizontal="center" vertical="center"/>
    </xf>
    <xf numFmtId="49" fontId="15" fillId="0" borderId="1" xfId="0" applyNumberFormat="1" applyFont="1" applyBorder="1" applyAlignment="1">
      <alignment horizontal="center" vertical="center"/>
    </xf>
    <xf numFmtId="0" fontId="21" fillId="0" borderId="14" xfId="222" applyFont="1" applyBorder="1" applyAlignment="1">
      <alignment horizontal="center" vertical="center"/>
    </xf>
    <xf numFmtId="0" fontId="21" fillId="0" borderId="1" xfId="222" applyFont="1" applyBorder="1" applyAlignment="1">
      <alignment horizontal="left" vertical="center"/>
    </xf>
    <xf numFmtId="0" fontId="15" fillId="0" borderId="1" xfId="0" applyFont="1" applyBorder="1" applyAlignment="1">
      <alignment horizontal="center" vertical="center" wrapText="1"/>
    </xf>
    <xf numFmtId="0" fontId="18" fillId="0" borderId="1" xfId="222" applyFont="1" applyBorder="1" applyAlignment="1">
      <alignment horizontal="center" vertical="center"/>
    </xf>
    <xf numFmtId="0" fontId="20" fillId="0" borderId="1" xfId="0" applyFont="1" applyBorder="1" applyAlignment="1">
      <alignment horizontal="left" vertical="center"/>
    </xf>
    <xf numFmtId="179" fontId="20" fillId="0" borderId="1" xfId="0" applyNumberFormat="1" applyFont="1" applyBorder="1" applyAlignment="1">
      <alignment horizontal="left" vertical="center"/>
    </xf>
    <xf numFmtId="182" fontId="22" fillId="0" borderId="1" xfId="222" applyNumberFormat="1" applyFont="1" applyBorder="1" applyAlignment="1">
      <alignment horizontal="center" vertical="center"/>
    </xf>
    <xf numFmtId="182" fontId="22" fillId="0" borderId="1" xfId="222" applyNumberFormat="1" applyFont="1" applyBorder="1" applyAlignment="1">
      <alignment horizontal="left" vertical="center"/>
    </xf>
  </cellXfs>
  <cellStyles count="39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鹎%U龡&amp;H鼼_x0008_V_x0011_._x0012__x0007__x0001__x0001_" xfId="49"/>
    <cellStyle name="_ET_STYLE_NoName_00_" xfId="50"/>
    <cellStyle name="_ET_STYLE_NoName_00_ 2" xfId="51"/>
    <cellStyle name="Accent1" xfId="52"/>
    <cellStyle name="Accent1 - 20%" xfId="53"/>
    <cellStyle name="Accent1 - 40%" xfId="54"/>
    <cellStyle name="Accent1 - 60%" xfId="55"/>
    <cellStyle name="Accent2" xfId="56"/>
    <cellStyle name="Accent2 - 20%" xfId="57"/>
    <cellStyle name="Accent2 - 40%" xfId="58"/>
    <cellStyle name="Accent2 - 60%" xfId="59"/>
    <cellStyle name="Accent3" xfId="60"/>
    <cellStyle name="Accent3 - 20%" xfId="61"/>
    <cellStyle name="Accent3 - 40%" xfId="62"/>
    <cellStyle name="Accent3 - 60%" xfId="63"/>
    <cellStyle name="Accent4" xfId="64"/>
    <cellStyle name="Accent4 - 20%" xfId="65"/>
    <cellStyle name="Accent4 - 40%" xfId="66"/>
    <cellStyle name="Accent4 - 60%" xfId="67"/>
    <cellStyle name="Accent5" xfId="68"/>
    <cellStyle name="Accent5 - 20%" xfId="69"/>
    <cellStyle name="Accent5 - 40%" xfId="70"/>
    <cellStyle name="Accent5 - 60%" xfId="71"/>
    <cellStyle name="Accent6" xfId="72"/>
    <cellStyle name="Accent6 - 20%" xfId="73"/>
    <cellStyle name="Accent6 - 40%" xfId="74"/>
    <cellStyle name="Accent6 - 60%" xfId="75"/>
    <cellStyle name="Comma [0]_Assumptions" xfId="76"/>
    <cellStyle name="Comma_Assumptions" xfId="77"/>
    <cellStyle name="Currency [0]_Assumptions" xfId="78"/>
    <cellStyle name="Currency_Assumptions" xfId="79"/>
    <cellStyle name="fs" xfId="80"/>
    <cellStyle name="Grey" xfId="81"/>
    <cellStyle name="Header1" xfId="82"/>
    <cellStyle name="Header2" xfId="83"/>
    <cellStyle name="ht" xfId="84"/>
    <cellStyle name="Input [yellow]" xfId="85"/>
    <cellStyle name="mystyle" xfId="86"/>
    <cellStyle name="Normal - Style1" xfId="87"/>
    <cellStyle name="Normal_1001_01.XLS" xfId="88"/>
    <cellStyle name="Percent [2]" xfId="89"/>
    <cellStyle name="shade" xfId="90"/>
    <cellStyle name="shi" xfId="91"/>
    <cellStyle name="st" xfId="92"/>
    <cellStyle name="style1" xfId="93"/>
    <cellStyle name="style2" xfId="94"/>
    <cellStyle name="style3" xfId="95"/>
    <cellStyle name="表标题" xfId="96"/>
    <cellStyle name="差_03  数据表" xfId="97"/>
    <cellStyle name="差_03  数据表-气分" xfId="98"/>
    <cellStyle name="差_03 数据表1" xfId="99"/>
    <cellStyle name="差_03-05雷达液位计-韩东" xfId="100"/>
    <cellStyle name="差_03-06音叉-韩东" xfId="101"/>
    <cellStyle name="差_03-22称重仪03" xfId="102"/>
    <cellStyle name="差_03-26气动切断阀" xfId="103"/>
    <cellStyle name="差_03数据表" xfId="104"/>
    <cellStyle name="差_06 整体孔板-气分" xfId="105"/>
    <cellStyle name="差_06001-706-P-3" xfId="106"/>
    <cellStyle name="差_06001-706-P-3OLD" xfId="107"/>
    <cellStyle name="差_06001-708-P-3" xfId="108"/>
    <cellStyle name="差_06001-708-P-3_2013SJ001TJ-101-IN-03 仪表数据表" xfId="109"/>
    <cellStyle name="差_06001-708-P-3_2013SJ001TJ-101-IN-03 仪表数据表  2014.01.15" xfId="110"/>
    <cellStyle name="差_06001-708-P-3_2013SJ001TJ-101-IN-03 仪表数据表  2014.01.17" xfId="111"/>
    <cellStyle name="差_06001-708-P-3_2013SJ001TJ-101-IN-03 仪表数据表1" xfId="112"/>
    <cellStyle name="差_06001-708-P-3_2013SJ001TJ-101-IN-03 仪表数据表1106" xfId="113"/>
    <cellStyle name="差_06001-708-P-3_2013SJ001TJ-101-IN-03 仪表数据表1106 (version 1)" xfId="114"/>
    <cellStyle name="差_06001-708-P-3_复件 (2) 2013SJ001TJ-101-IN-03 仪表数据表1106 (RTD)" xfId="115"/>
    <cellStyle name="差_06001-708-P-3_复件 (4) 2013SJ001TJ-101-IN-03 仪表数据表1106 (LS)" xfId="116"/>
    <cellStyle name="差_06001-708-P-3_复件 (5) 2013SJ001TJ-101-IN-03 仪表数据表1106 (PG)" xfId="117"/>
    <cellStyle name="差_06001-708-P-3_复件 (6) 2013SJ001TJ-101-IN-03 仪表数据表1106 (TV)" xfId="118"/>
    <cellStyle name="差_06001-708-P-3_复件 (7) 2013SJ001TJ-101-IN-03 仪表数据表1106 (WT)" xfId="119"/>
    <cellStyle name="差_06001-708-P-3_复件 (8) 2013SJ001TJ-101-IN-03 仪表数据表1106 (WV)" xfId="120"/>
    <cellStyle name="差_06001-708-P-3_复件 (9) 2013SJ001TJ-101-IN-03 仪表数据表1106 (HV)" xfId="121"/>
    <cellStyle name="差_06005-706-P-3" xfId="122"/>
    <cellStyle name="差_06005-710-P-3" xfId="123"/>
    <cellStyle name="差_06005-710-P-3_2013SJ001TJ-101-IN-03 仪表数据表" xfId="124"/>
    <cellStyle name="差_06005-710-P-3_2013SJ001TJ-101-IN-03 仪表数据表  2014.01.15" xfId="125"/>
    <cellStyle name="差_06005-710-P-3_2013SJ001TJ-101-IN-03 仪表数据表  2014.01.17" xfId="126"/>
    <cellStyle name="差_06005-710-P-3_2013SJ001TJ-101-IN-03 仪表数据表1" xfId="127"/>
    <cellStyle name="差_06005-710-P-3_2013SJ001TJ-101-IN-03 仪表数据表1106" xfId="128"/>
    <cellStyle name="差_06005-710-P-3_2013SJ001TJ-101-IN-03 仪表数据表1106 (version 1)" xfId="129"/>
    <cellStyle name="差_06005-710-P-3_复件 (2) 2013SJ001TJ-101-IN-03 仪表数据表1106 (RTD)" xfId="130"/>
    <cellStyle name="差_06005-710-P-3_复件 (4) 2013SJ001TJ-101-IN-03 仪表数据表1106 (LS)" xfId="131"/>
    <cellStyle name="差_06005-710-P-3_复件 (5) 2013SJ001TJ-101-IN-03 仪表数据表1106 (PG)" xfId="132"/>
    <cellStyle name="差_06005-710-P-3_复件 (6) 2013SJ001TJ-101-IN-03 仪表数据表1106 (TV)" xfId="133"/>
    <cellStyle name="差_06005-710-P-3_复件 (7) 2013SJ001TJ-101-IN-03 仪表数据表1106 (WT)" xfId="134"/>
    <cellStyle name="差_06005-710-P-3_复件 (8) 2013SJ001TJ-101-IN-03 仪表数据表1106 (WV)" xfId="135"/>
    <cellStyle name="差_06005-710-P-3_复件 (9) 2013SJ001TJ-101-IN-03 仪表数据表1106 (HV)" xfId="136"/>
    <cellStyle name="差_06005-712-P-3" xfId="137"/>
    <cellStyle name="差_06038-801-P-3" xfId="138"/>
    <cellStyle name="差_06038-801-P-3_2013SJ001TJ-101-IN-03 仪表数据表" xfId="139"/>
    <cellStyle name="差_06038-801-P-3_2013SJ001TJ-101-IN-03 仪表数据表  2014.01.15" xfId="140"/>
    <cellStyle name="差_06038-801-P-3_2013SJ001TJ-101-IN-03 仪表数据表  2014.01.17" xfId="141"/>
    <cellStyle name="差_06038-801-P-3_2013SJ001TJ-101-IN-03 仪表数据表1" xfId="142"/>
    <cellStyle name="差_06038-801-P-3_2013SJ001TJ-101-IN-03 仪表数据表1106" xfId="143"/>
    <cellStyle name="差_06038-801-P-3_2013SJ001TJ-101-IN-03 仪表数据表1106 (version 1)" xfId="144"/>
    <cellStyle name="差_06038-801-P-3_复件 (2) 2013SJ001TJ-101-IN-03 仪表数据表1106 (RTD)" xfId="145"/>
    <cellStyle name="差_06038-801-P-3_复件 (4) 2013SJ001TJ-101-IN-03 仪表数据表1106 (LS)" xfId="146"/>
    <cellStyle name="差_06038-801-P-3_复件 (5) 2013SJ001TJ-101-IN-03 仪表数据表1106 (PG)" xfId="147"/>
    <cellStyle name="差_06038-801-P-3_复件 (6) 2013SJ001TJ-101-IN-03 仪表数据表1106 (TV)" xfId="148"/>
    <cellStyle name="差_06038-801-P-3_复件 (7) 2013SJ001TJ-101-IN-03 仪表数据表1106 (WT)" xfId="149"/>
    <cellStyle name="差_06038-801-P-3_复件 (8) 2013SJ001TJ-101-IN-03 仪表数据表1106 (WV)" xfId="150"/>
    <cellStyle name="差_06038-801-P-3_复件 (9) 2013SJ001TJ-101-IN-03 仪表数据表1106 (HV)" xfId="151"/>
    <cellStyle name="差_07001-706-P-3" xfId="152"/>
    <cellStyle name="差_07001-708-P-3" xfId="153"/>
    <cellStyle name="差_07001-708-P-3_2013SJ001TJ-101-IN-03 仪表数据表" xfId="154"/>
    <cellStyle name="差_07001-708-P-3_2013SJ001TJ-101-IN-03 仪表数据表  2014.01.15" xfId="155"/>
    <cellStyle name="差_07001-708-P-3_2013SJ001TJ-101-IN-03 仪表数据表  2014.01.17" xfId="156"/>
    <cellStyle name="差_07001-708-P-3_2013SJ001TJ-101-IN-03 仪表数据表1" xfId="157"/>
    <cellStyle name="差_07001-708-P-3_2013SJ001TJ-101-IN-03 仪表数据表1106" xfId="158"/>
    <cellStyle name="差_07001-708-P-3_2013SJ001TJ-101-IN-03 仪表数据表1106 (version 1)" xfId="159"/>
    <cellStyle name="差_07001-708-P-3_复件 (2) 2013SJ001TJ-101-IN-03 仪表数据表1106 (RTD)" xfId="160"/>
    <cellStyle name="差_07001-708-P-3_复件 (4) 2013SJ001TJ-101-IN-03 仪表数据表1106 (LS)" xfId="161"/>
    <cellStyle name="差_07001-708-P-3_复件 (5) 2013SJ001TJ-101-IN-03 仪表数据表1106 (PG)" xfId="162"/>
    <cellStyle name="差_07001-708-P-3_复件 (6) 2013SJ001TJ-101-IN-03 仪表数据表1106 (TV)" xfId="163"/>
    <cellStyle name="差_07001-708-P-3_复件 (7) 2013SJ001TJ-101-IN-03 仪表数据表1106 (WT)" xfId="164"/>
    <cellStyle name="差_07001-708-P-3_复件 (8) 2013SJ001TJ-101-IN-03 仪表数据表1106 (WV)" xfId="165"/>
    <cellStyle name="差_07001-708-P-3_复件 (9) 2013SJ001TJ-101-IN-03 仪表数据表1106 (HV)" xfId="166"/>
    <cellStyle name="差_08016-801-P-3" xfId="167"/>
    <cellStyle name="差_08016-801-P-3_2013SJ001TJ-101-IN-03 仪表数据表" xfId="168"/>
    <cellStyle name="差_08016-801-P-3_2013SJ001TJ-101-IN-03 仪表数据表  2014.01.15" xfId="169"/>
    <cellStyle name="差_08016-801-P-3_2013SJ001TJ-101-IN-03 仪表数据表  2014.01.17" xfId="170"/>
    <cellStyle name="差_08016-801-P-3_2013SJ001TJ-101-IN-03 仪表数据表1" xfId="171"/>
    <cellStyle name="差_08016-801-P-3_2013SJ001TJ-101-IN-03 仪表数据表1106" xfId="172"/>
    <cellStyle name="差_08016-801-P-3_2013SJ001TJ-101-IN-03 仪表数据表1106 (version 1)" xfId="173"/>
    <cellStyle name="差_08016-801-P-3_复件 (2) 2013SJ001TJ-101-IN-03 仪表数据表1106 (RTD)" xfId="174"/>
    <cellStyle name="差_08016-801-P-3_复件 (4) 2013SJ001TJ-101-IN-03 仪表数据表1106 (LS)" xfId="175"/>
    <cellStyle name="差_08016-801-P-3_复件 (5) 2013SJ001TJ-101-IN-03 仪表数据表1106 (PG)" xfId="176"/>
    <cellStyle name="差_08016-801-P-3_复件 (6) 2013SJ001TJ-101-IN-03 仪表数据表1106 (TV)" xfId="177"/>
    <cellStyle name="差_08016-801-P-3_复件 (7) 2013SJ001TJ-101-IN-03 仪表数据表1106 (WT)" xfId="178"/>
    <cellStyle name="差_08016-801-P-3_复件 (8) 2013SJ001TJ-101-IN-03 仪表数据表1106 (WV)" xfId="179"/>
    <cellStyle name="差_08016-801-P-3_复件 (9) 2013SJ001TJ-101-IN-03 仪表数据表1106 (HV)" xfId="180"/>
    <cellStyle name="差_09 安全栅" xfId="181"/>
    <cellStyle name="差_09 质量流量计" xfId="182"/>
    <cellStyle name="差_2012SJ033-101-IN-03 数据表" xfId="183"/>
    <cellStyle name="差_2013SJ006-1011-IN-03-1 仪表数据表" xfId="184"/>
    <cellStyle name="差_2013SJ012-102-IN-03 仪表数据表" xfId="185"/>
    <cellStyle name="差_DP transmitter(level)" xfId="186"/>
    <cellStyle name="差_DP transmitter(level)_2013SJ001TJ-101-IN-03 仪表数据表" xfId="187"/>
    <cellStyle name="差_DP transmitter(level)_2013SJ001TJ-101-IN-03 仪表数据表  2014.01.15" xfId="188"/>
    <cellStyle name="差_DP transmitter(level)_2013SJ001TJ-101-IN-03 仪表数据表  2014.01.17" xfId="189"/>
    <cellStyle name="差_DP transmitter(level)_2013SJ001TJ-101-IN-03 仪表数据表1" xfId="190"/>
    <cellStyle name="差_DP transmitter(level)_2013SJ001TJ-101-IN-03 仪表数据表1106" xfId="191"/>
    <cellStyle name="差_DP transmitter(level)_2013SJ001TJ-101-IN-03 仪表数据表1106 (version 1)" xfId="192"/>
    <cellStyle name="差_DP transmitter(level)_复件 (2) 2013SJ001TJ-101-IN-03 仪表数据表1106 (RTD)" xfId="193"/>
    <cellStyle name="差_DP transmitter(level)_复件 (4) 2013SJ001TJ-101-IN-03 仪表数据表1106 (LS)" xfId="194"/>
    <cellStyle name="差_DP transmitter(level)_复件 (5) 2013SJ001TJ-101-IN-03 仪表数据表1106 (PG)" xfId="195"/>
    <cellStyle name="差_DP transmitter(level)_复件 (6) 2013SJ001TJ-101-IN-03 仪表数据表1106 (TV)" xfId="196"/>
    <cellStyle name="差_DP transmitter(level)_复件 (7) 2013SJ001TJ-101-IN-03 仪表数据表1106 (WT)" xfId="197"/>
    <cellStyle name="差_DP transmitter(level)_复件 (8) 2013SJ001TJ-101-IN-03 仪表数据表1106 (WV)" xfId="198"/>
    <cellStyle name="差_DP transmitter(level)_复件 (9) 2013SJ001TJ-101-IN-03 仪表数据表1106 (HV)" xfId="199"/>
    <cellStyle name="差_调节阀数据表141204" xfId="200"/>
    <cellStyle name="差_红外温度计" xfId="201"/>
    <cellStyle name="差_监控801" xfId="202"/>
    <cellStyle name="差_监控801_2013SJ001TJ-101-IN-03 仪表数据表" xfId="203"/>
    <cellStyle name="差_监控801_2013SJ001TJ-101-IN-03 仪表数据表  2014.01.15" xfId="204"/>
    <cellStyle name="差_监控801_2013SJ001TJ-101-IN-03 仪表数据表  2014.01.17" xfId="205"/>
    <cellStyle name="差_监控801_2013SJ001TJ-101-IN-03 仪表数据表1" xfId="206"/>
    <cellStyle name="差_监控801_2013SJ001TJ-101-IN-03 仪表数据表1106" xfId="207"/>
    <cellStyle name="差_监控801_2013SJ001TJ-101-IN-03 仪表数据表1106 (version 1)" xfId="208"/>
    <cellStyle name="差_监控801_复件 (2) 2013SJ001TJ-101-IN-03 仪表数据表1106 (RTD)" xfId="209"/>
    <cellStyle name="差_监控801_复件 (4) 2013SJ001TJ-101-IN-03 仪表数据表1106 (LS)" xfId="210"/>
    <cellStyle name="差_监控801_复件 (5) 2013SJ001TJ-101-IN-03 仪表数据表1106 (PG)" xfId="211"/>
    <cellStyle name="差_监控801_复件 (6) 2013SJ001TJ-101-IN-03 仪表数据表1106 (TV)" xfId="212"/>
    <cellStyle name="差_监控801_复件 (7) 2013SJ001TJ-101-IN-03 仪表数据表1106 (WT)" xfId="213"/>
    <cellStyle name="差_监控801_复件 (8) 2013SJ001TJ-101-IN-03 仪表数据表1106 (WV)" xfId="214"/>
    <cellStyle name="差_监控801_复件 (9) 2013SJ001TJ-101-IN-03 仪表数据表1106 (HV)" xfId="215"/>
    <cellStyle name="差_骆越-李新友" xfId="216"/>
    <cellStyle name="差_质量流量计" xfId="217"/>
    <cellStyle name="差_周勃增补" xfId="218"/>
    <cellStyle name="常规 10" xfId="219"/>
    <cellStyle name="常规 11" xfId="220"/>
    <cellStyle name="常规 12" xfId="221"/>
    <cellStyle name="常规 13" xfId="222"/>
    <cellStyle name="常规 2" xfId="223"/>
    <cellStyle name="常规 2 2" xfId="224"/>
    <cellStyle name="常规 2 2 2" xfId="225"/>
    <cellStyle name="常规 2 2 2 2" xfId="226"/>
    <cellStyle name="常规 2 2 2 2 2" xfId="227"/>
    <cellStyle name="常规 2 2 3" xfId="228"/>
    <cellStyle name="常规 2 2 3 2" xfId="229"/>
    <cellStyle name="常规 2 2 4" xfId="230"/>
    <cellStyle name="常规 2_2013SJ001TJ-101-IN-03 仪表数据表" xfId="231"/>
    <cellStyle name="常规 3" xfId="232"/>
    <cellStyle name="常规 3 2" xfId="233"/>
    <cellStyle name="常规 3_周勃增补" xfId="234"/>
    <cellStyle name="常规 4" xfId="235"/>
    <cellStyle name="常规 4 2" xfId="236"/>
    <cellStyle name="常规 4 3" xfId="237"/>
    <cellStyle name="常规 4 3 2" xfId="238"/>
    <cellStyle name="常规 4 3 2 2" xfId="239"/>
    <cellStyle name="常规 4 3 2 2 2" xfId="240"/>
    <cellStyle name="常规 4 3 3" xfId="241"/>
    <cellStyle name="常规 4 3 3 2" xfId="242"/>
    <cellStyle name="常规 4_08 电磁流量计" xfId="243"/>
    <cellStyle name="常规 5" xfId="244"/>
    <cellStyle name="常规 5 2" xfId="245"/>
    <cellStyle name="常规 5_周勃增补" xfId="246"/>
    <cellStyle name="常规 6" xfId="247"/>
    <cellStyle name="常规 7" xfId="248"/>
    <cellStyle name="常规 7 2" xfId="249"/>
    <cellStyle name="常规 7_08 电磁流量计" xfId="250"/>
    <cellStyle name="常规 8" xfId="251"/>
    <cellStyle name="常规 8 2" xfId="252"/>
    <cellStyle name="常规 9" xfId="253"/>
    <cellStyle name="常规 9 2" xfId="254"/>
    <cellStyle name="常规 9 2 2" xfId="255"/>
    <cellStyle name="常规 9 2 2 2" xfId="256"/>
    <cellStyle name="常规 9 3" xfId="257"/>
    <cellStyle name="常规 9 3 2" xfId="258"/>
    <cellStyle name="超级链接" xfId="259"/>
    <cellStyle name="好_03  数据表" xfId="260"/>
    <cellStyle name="好_03  数据表-气分" xfId="261"/>
    <cellStyle name="好_03 数据表1" xfId="262"/>
    <cellStyle name="好_03-05雷达液位计-韩东" xfId="263"/>
    <cellStyle name="好_03-06音叉-韩东" xfId="264"/>
    <cellStyle name="好_03-22称重仪03" xfId="265"/>
    <cellStyle name="好_03-26气动切断阀" xfId="266"/>
    <cellStyle name="好_03数据表" xfId="267"/>
    <cellStyle name="好_06 整体孔板-气分" xfId="268"/>
    <cellStyle name="好_06001-706-P-3" xfId="269"/>
    <cellStyle name="好_06001-706-P-3OLD" xfId="270"/>
    <cellStyle name="好_06001-708-P-3" xfId="271"/>
    <cellStyle name="好_06001-708-P-3_2013SJ001TJ-101-IN-03 仪表数据表" xfId="272"/>
    <cellStyle name="好_06001-708-P-3_2013SJ001TJ-101-IN-03 仪表数据表  2014.01.15" xfId="273"/>
    <cellStyle name="好_06001-708-P-3_2013SJ001TJ-101-IN-03 仪表数据表  2014.01.17" xfId="274"/>
    <cellStyle name="好_06001-708-P-3_2013SJ001TJ-101-IN-03 仪表数据表1" xfId="275"/>
    <cellStyle name="好_06001-708-P-3_2013SJ001TJ-101-IN-03 仪表数据表1106" xfId="276"/>
    <cellStyle name="好_06001-708-P-3_2013SJ001TJ-101-IN-03 仪表数据表1106 (version 1)" xfId="277"/>
    <cellStyle name="好_06001-708-P-3_复件 (2) 2013SJ001TJ-101-IN-03 仪表数据表1106 (RTD)" xfId="278"/>
    <cellStyle name="好_06001-708-P-3_复件 (4) 2013SJ001TJ-101-IN-03 仪表数据表1106 (LS)" xfId="279"/>
    <cellStyle name="好_06001-708-P-3_复件 (5) 2013SJ001TJ-101-IN-03 仪表数据表1106 (PG)" xfId="280"/>
    <cellStyle name="好_06001-708-P-3_复件 (6) 2013SJ001TJ-101-IN-03 仪表数据表1106 (TV)" xfId="281"/>
    <cellStyle name="好_06001-708-P-3_复件 (7) 2013SJ001TJ-101-IN-03 仪表数据表1106 (WT)" xfId="282"/>
    <cellStyle name="好_06001-708-P-3_复件 (8) 2013SJ001TJ-101-IN-03 仪表数据表1106 (WV)" xfId="283"/>
    <cellStyle name="好_06001-708-P-3_复件 (9) 2013SJ001TJ-101-IN-03 仪表数据表1106 (HV)" xfId="284"/>
    <cellStyle name="好_06005-706-P-3" xfId="285"/>
    <cellStyle name="好_06005-710-P-3" xfId="286"/>
    <cellStyle name="好_06005-710-P-3_2013SJ001TJ-101-IN-03 仪表数据表" xfId="287"/>
    <cellStyle name="好_06005-710-P-3_2013SJ001TJ-101-IN-03 仪表数据表  2014.01.15" xfId="288"/>
    <cellStyle name="好_06005-710-P-3_2013SJ001TJ-101-IN-03 仪表数据表  2014.01.17" xfId="289"/>
    <cellStyle name="好_06005-710-P-3_2013SJ001TJ-101-IN-03 仪表数据表1" xfId="290"/>
    <cellStyle name="好_06005-710-P-3_2013SJ001TJ-101-IN-03 仪表数据表1106" xfId="291"/>
    <cellStyle name="好_06005-710-P-3_2013SJ001TJ-101-IN-03 仪表数据表1106 (version 1)" xfId="292"/>
    <cellStyle name="好_06005-710-P-3_复件 (2) 2013SJ001TJ-101-IN-03 仪表数据表1106 (RTD)" xfId="293"/>
    <cellStyle name="好_06005-710-P-3_复件 (4) 2013SJ001TJ-101-IN-03 仪表数据表1106 (LS)" xfId="294"/>
    <cellStyle name="好_06005-710-P-3_复件 (5) 2013SJ001TJ-101-IN-03 仪表数据表1106 (PG)" xfId="295"/>
    <cellStyle name="好_06005-710-P-3_复件 (6) 2013SJ001TJ-101-IN-03 仪表数据表1106 (TV)" xfId="296"/>
    <cellStyle name="好_06005-710-P-3_复件 (7) 2013SJ001TJ-101-IN-03 仪表数据表1106 (WT)" xfId="297"/>
    <cellStyle name="好_06005-710-P-3_复件 (8) 2013SJ001TJ-101-IN-03 仪表数据表1106 (WV)" xfId="298"/>
    <cellStyle name="好_06005-710-P-3_复件 (9) 2013SJ001TJ-101-IN-03 仪表数据表1106 (HV)" xfId="299"/>
    <cellStyle name="好_06005-712-P-3" xfId="300"/>
    <cellStyle name="好_06038-801-P-3" xfId="301"/>
    <cellStyle name="好_06038-801-P-3_2013SJ001TJ-101-IN-03 仪表数据表" xfId="302"/>
    <cellStyle name="好_06038-801-P-3_2013SJ001TJ-101-IN-03 仪表数据表  2014.01.15" xfId="303"/>
    <cellStyle name="好_06038-801-P-3_2013SJ001TJ-101-IN-03 仪表数据表  2014.01.17" xfId="304"/>
    <cellStyle name="好_06038-801-P-3_2013SJ001TJ-101-IN-03 仪表数据表1" xfId="305"/>
    <cellStyle name="好_06038-801-P-3_2013SJ001TJ-101-IN-03 仪表数据表1106" xfId="306"/>
    <cellStyle name="好_06038-801-P-3_2013SJ001TJ-101-IN-03 仪表数据表1106 (version 1)" xfId="307"/>
    <cellStyle name="好_06038-801-P-3_复件 (2) 2013SJ001TJ-101-IN-03 仪表数据表1106 (RTD)" xfId="308"/>
    <cellStyle name="好_06038-801-P-3_复件 (4) 2013SJ001TJ-101-IN-03 仪表数据表1106 (LS)" xfId="309"/>
    <cellStyle name="好_06038-801-P-3_复件 (5) 2013SJ001TJ-101-IN-03 仪表数据表1106 (PG)" xfId="310"/>
    <cellStyle name="好_06038-801-P-3_复件 (6) 2013SJ001TJ-101-IN-03 仪表数据表1106 (TV)" xfId="311"/>
    <cellStyle name="好_06038-801-P-3_复件 (7) 2013SJ001TJ-101-IN-03 仪表数据表1106 (WT)" xfId="312"/>
    <cellStyle name="好_06038-801-P-3_复件 (8) 2013SJ001TJ-101-IN-03 仪表数据表1106 (WV)" xfId="313"/>
    <cellStyle name="好_06038-801-P-3_复件 (9) 2013SJ001TJ-101-IN-03 仪表数据表1106 (HV)" xfId="314"/>
    <cellStyle name="好_07001-706-P-3" xfId="315"/>
    <cellStyle name="好_07001-708-P-3" xfId="316"/>
    <cellStyle name="好_07001-708-P-3_2013SJ001TJ-101-IN-03 仪表数据表" xfId="317"/>
    <cellStyle name="好_07001-708-P-3_2013SJ001TJ-101-IN-03 仪表数据表  2014.01.15" xfId="318"/>
    <cellStyle name="好_07001-708-P-3_2013SJ001TJ-101-IN-03 仪表数据表  2014.01.17" xfId="319"/>
    <cellStyle name="好_07001-708-P-3_2013SJ001TJ-101-IN-03 仪表数据表1" xfId="320"/>
    <cellStyle name="好_07001-708-P-3_2013SJ001TJ-101-IN-03 仪表数据表1106" xfId="321"/>
    <cellStyle name="好_07001-708-P-3_2013SJ001TJ-101-IN-03 仪表数据表1106 (version 1)" xfId="322"/>
    <cellStyle name="好_07001-708-P-3_复件 (2) 2013SJ001TJ-101-IN-03 仪表数据表1106 (RTD)" xfId="323"/>
    <cellStyle name="好_07001-708-P-3_复件 (4) 2013SJ001TJ-101-IN-03 仪表数据表1106 (LS)" xfId="324"/>
    <cellStyle name="好_07001-708-P-3_复件 (5) 2013SJ001TJ-101-IN-03 仪表数据表1106 (PG)" xfId="325"/>
    <cellStyle name="好_07001-708-P-3_复件 (6) 2013SJ001TJ-101-IN-03 仪表数据表1106 (TV)" xfId="326"/>
    <cellStyle name="好_07001-708-P-3_复件 (7) 2013SJ001TJ-101-IN-03 仪表数据表1106 (WT)" xfId="327"/>
    <cellStyle name="好_07001-708-P-3_复件 (8) 2013SJ001TJ-101-IN-03 仪表数据表1106 (WV)" xfId="328"/>
    <cellStyle name="好_07001-708-P-3_复件 (9) 2013SJ001TJ-101-IN-03 仪表数据表1106 (HV)" xfId="329"/>
    <cellStyle name="好_08016-801-P-3" xfId="330"/>
    <cellStyle name="好_08016-801-P-3_2013SJ001TJ-101-IN-03 仪表数据表" xfId="331"/>
    <cellStyle name="好_08016-801-P-3_2013SJ001TJ-101-IN-03 仪表数据表  2014.01.15" xfId="332"/>
    <cellStyle name="好_08016-801-P-3_2013SJ001TJ-101-IN-03 仪表数据表  2014.01.17" xfId="333"/>
    <cellStyle name="好_08016-801-P-3_2013SJ001TJ-101-IN-03 仪表数据表1" xfId="334"/>
    <cellStyle name="好_08016-801-P-3_2013SJ001TJ-101-IN-03 仪表数据表1106" xfId="335"/>
    <cellStyle name="好_08016-801-P-3_2013SJ001TJ-101-IN-03 仪表数据表1106 (version 1)" xfId="336"/>
    <cellStyle name="好_08016-801-P-3_复件 (2) 2013SJ001TJ-101-IN-03 仪表数据表1106 (RTD)" xfId="337"/>
    <cellStyle name="好_08016-801-P-3_复件 (4) 2013SJ001TJ-101-IN-03 仪表数据表1106 (LS)" xfId="338"/>
    <cellStyle name="好_08016-801-P-3_复件 (5) 2013SJ001TJ-101-IN-03 仪表数据表1106 (PG)" xfId="339"/>
    <cellStyle name="好_08016-801-P-3_复件 (6) 2013SJ001TJ-101-IN-03 仪表数据表1106 (TV)" xfId="340"/>
    <cellStyle name="好_08016-801-P-3_复件 (7) 2013SJ001TJ-101-IN-03 仪表数据表1106 (WT)" xfId="341"/>
    <cellStyle name="好_08016-801-P-3_复件 (8) 2013SJ001TJ-101-IN-03 仪表数据表1106 (WV)" xfId="342"/>
    <cellStyle name="好_08016-801-P-3_复件 (9) 2013SJ001TJ-101-IN-03 仪表数据表1106 (HV)" xfId="343"/>
    <cellStyle name="好_09 安全栅" xfId="344"/>
    <cellStyle name="好_09 质量流量计" xfId="345"/>
    <cellStyle name="好_2012SJ033-101-IN-03 数据表" xfId="346"/>
    <cellStyle name="好_2013SJ006-1011-IN-03-1 仪表数据表" xfId="347"/>
    <cellStyle name="好_2013SJ012-102-IN-03 仪表数据表" xfId="348"/>
    <cellStyle name="好_DP transmitter(level)" xfId="349"/>
    <cellStyle name="好_DP transmitter(level)_2013SJ001TJ-101-IN-03 仪表数据表" xfId="350"/>
    <cellStyle name="好_DP transmitter(level)_2013SJ001TJ-101-IN-03 仪表数据表  2014.01.15" xfId="351"/>
    <cellStyle name="好_DP transmitter(level)_2013SJ001TJ-101-IN-03 仪表数据表  2014.01.17" xfId="352"/>
    <cellStyle name="好_DP transmitter(level)_2013SJ001TJ-101-IN-03 仪表数据表1" xfId="353"/>
    <cellStyle name="好_DP transmitter(level)_2013SJ001TJ-101-IN-03 仪表数据表1106" xfId="354"/>
    <cellStyle name="好_DP transmitter(level)_2013SJ001TJ-101-IN-03 仪表数据表1106 (version 1)" xfId="355"/>
    <cellStyle name="好_DP transmitter(level)_复件 (2) 2013SJ001TJ-101-IN-03 仪表数据表1106 (RTD)" xfId="356"/>
    <cellStyle name="好_DP transmitter(level)_复件 (4) 2013SJ001TJ-101-IN-03 仪表数据表1106 (LS)" xfId="357"/>
    <cellStyle name="好_DP transmitter(level)_复件 (5) 2013SJ001TJ-101-IN-03 仪表数据表1106 (PG)" xfId="358"/>
    <cellStyle name="好_DP transmitter(level)_复件 (6) 2013SJ001TJ-101-IN-03 仪表数据表1106 (TV)" xfId="359"/>
    <cellStyle name="好_DP transmitter(level)_复件 (7) 2013SJ001TJ-101-IN-03 仪表数据表1106 (WT)" xfId="360"/>
    <cellStyle name="好_DP transmitter(level)_复件 (8) 2013SJ001TJ-101-IN-03 仪表数据表1106 (WV)" xfId="361"/>
    <cellStyle name="好_DP transmitter(level)_复件 (9) 2013SJ001TJ-101-IN-03 仪表数据表1106 (HV)" xfId="362"/>
    <cellStyle name="好_调节阀数据表141204" xfId="363"/>
    <cellStyle name="好_红外温度计" xfId="364"/>
    <cellStyle name="好_监控801" xfId="365"/>
    <cellStyle name="好_监控801_2013SJ001TJ-101-IN-03 仪表数据表" xfId="366"/>
    <cellStyle name="好_监控801_2013SJ001TJ-101-IN-03 仪表数据表  2014.01.15" xfId="367"/>
    <cellStyle name="好_监控801_2013SJ001TJ-101-IN-03 仪表数据表  2014.01.17" xfId="368"/>
    <cellStyle name="好_监控801_2013SJ001TJ-101-IN-03 仪表数据表1" xfId="369"/>
    <cellStyle name="好_监控801_2013SJ001TJ-101-IN-03 仪表数据表1106" xfId="370"/>
    <cellStyle name="好_监控801_2013SJ001TJ-101-IN-03 仪表数据表1106 (version 1)" xfId="371"/>
    <cellStyle name="好_监控801_复件 (2) 2013SJ001TJ-101-IN-03 仪表数据表1106 (RTD)" xfId="372"/>
    <cellStyle name="好_监控801_复件 (4) 2013SJ001TJ-101-IN-03 仪表数据表1106 (LS)" xfId="373"/>
    <cellStyle name="好_监控801_复件 (5) 2013SJ001TJ-101-IN-03 仪表数据表1106 (PG)" xfId="374"/>
    <cellStyle name="好_监控801_复件 (6) 2013SJ001TJ-101-IN-03 仪表数据表1106 (TV)" xfId="375"/>
    <cellStyle name="好_监控801_复件 (7) 2013SJ001TJ-101-IN-03 仪表数据表1106 (WT)" xfId="376"/>
    <cellStyle name="好_监控801_复件 (8) 2013SJ001TJ-101-IN-03 仪表数据表1106 (WV)" xfId="377"/>
    <cellStyle name="好_监控801_复件 (9) 2013SJ001TJ-101-IN-03 仪表数据表1106 (HV)" xfId="378"/>
    <cellStyle name="好_骆越-李新友" xfId="379"/>
    <cellStyle name="好_质量流量计" xfId="380"/>
    <cellStyle name="好_周勃增补" xfId="381"/>
    <cellStyle name="后继超级链接" xfId="382"/>
    <cellStyle name="普通_gg (2)" xfId="383"/>
    <cellStyle name="千分位[0]_gg (2)" xfId="384"/>
    <cellStyle name="千分位_gg (2)" xfId="385"/>
    <cellStyle name="千位[0]_A802 (12)" xfId="386"/>
    <cellStyle name="千位_A802 (12)" xfId="387"/>
    <cellStyle name="强调 1" xfId="388"/>
    <cellStyle name="强调 2" xfId="389"/>
    <cellStyle name="强调 3" xfId="390"/>
    <cellStyle name="样式 1" xfId="391"/>
    <cellStyle name="昗弨_LINETANI" xfId="392"/>
  </cellStyles>
  <tableStyles count="0" defaultTableStyle="TableStyleMedium9" defaultPivotStyle="PivotStyleLight16"/>
  <colors>
    <mruColors>
      <color rgb="0000B050"/>
      <color rgb="00FFC000"/>
      <color rgb="0092D05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40.wmf"/><Relationship Id="rId51" Type="http://schemas.openxmlformats.org/officeDocument/2006/relationships/image" Target="../media/image60.wmf"/><Relationship Id="rId50" Type="http://schemas.openxmlformats.org/officeDocument/2006/relationships/image" Target="../media/image59.wmf"/><Relationship Id="rId5" Type="http://schemas.openxmlformats.org/officeDocument/2006/relationships/image" Target="../media/image39.wmf"/><Relationship Id="rId49" Type="http://schemas.openxmlformats.org/officeDocument/2006/relationships/image" Target="../media/image58.wmf"/><Relationship Id="rId48" Type="http://schemas.openxmlformats.org/officeDocument/2006/relationships/image" Target="../media/image57.wmf"/><Relationship Id="rId47" Type="http://schemas.openxmlformats.org/officeDocument/2006/relationships/image" Target="../media/image56.wmf"/><Relationship Id="rId46" Type="http://schemas.openxmlformats.org/officeDocument/2006/relationships/image" Target="../media/image55.wmf"/><Relationship Id="rId45" Type="http://schemas.openxmlformats.org/officeDocument/2006/relationships/image" Target="../media/image54.wmf"/><Relationship Id="rId44" Type="http://schemas.openxmlformats.org/officeDocument/2006/relationships/image" Target="../media/image53.wmf"/><Relationship Id="rId43" Type="http://schemas.openxmlformats.org/officeDocument/2006/relationships/image" Target="../media/image52.wmf"/><Relationship Id="rId42" Type="http://schemas.openxmlformats.org/officeDocument/2006/relationships/image" Target="../media/image51.wmf"/><Relationship Id="rId41" Type="http://schemas.openxmlformats.org/officeDocument/2006/relationships/image" Target="../media/image50.wmf"/><Relationship Id="rId40" Type="http://schemas.openxmlformats.org/officeDocument/2006/relationships/image" Target="../media/image49.wmf"/><Relationship Id="rId4" Type="http://schemas.openxmlformats.org/officeDocument/2006/relationships/image" Target="../media/image38.wmf"/><Relationship Id="rId39" Type="http://schemas.openxmlformats.org/officeDocument/2006/relationships/image" Target="../media/image48.wmf"/><Relationship Id="rId38" Type="http://schemas.openxmlformats.org/officeDocument/2006/relationships/image" Target="../media/image47.wmf"/><Relationship Id="rId37" Type="http://schemas.openxmlformats.org/officeDocument/2006/relationships/image" Target="../media/image46.wmf"/><Relationship Id="rId36" Type="http://schemas.openxmlformats.org/officeDocument/2006/relationships/image" Target="../media/image45.wmf"/><Relationship Id="rId35" Type="http://schemas.openxmlformats.org/officeDocument/2006/relationships/image" Target="../media/image44.wmf"/><Relationship Id="rId34" Type="http://schemas.openxmlformats.org/officeDocument/2006/relationships/image" Target="../media/image43.wmf"/><Relationship Id="rId33" Type="http://schemas.openxmlformats.org/officeDocument/2006/relationships/image" Target="../media/image42.wmf"/><Relationship Id="rId32" Type="http://schemas.openxmlformats.org/officeDocument/2006/relationships/image" Target="../media/image34.wmf"/><Relationship Id="rId31" Type="http://schemas.openxmlformats.org/officeDocument/2006/relationships/image" Target="../media/image33.wmf"/><Relationship Id="rId30" Type="http://schemas.openxmlformats.org/officeDocument/2006/relationships/image" Target="../media/image32.wmf"/><Relationship Id="rId3" Type="http://schemas.openxmlformats.org/officeDocument/2006/relationships/image" Target="../media/image37.wmf"/><Relationship Id="rId29" Type="http://schemas.openxmlformats.org/officeDocument/2006/relationships/image" Target="../media/image31.wmf"/><Relationship Id="rId28" Type="http://schemas.openxmlformats.org/officeDocument/2006/relationships/image" Target="../media/image41.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36.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35.wmf"/></Relationships>
</file>

<file path=xl/drawings/_rels/vmlDrawing3.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40.wmf"/><Relationship Id="rId51" Type="http://schemas.openxmlformats.org/officeDocument/2006/relationships/image" Target="../media/image60.wmf"/><Relationship Id="rId50" Type="http://schemas.openxmlformats.org/officeDocument/2006/relationships/image" Target="../media/image59.wmf"/><Relationship Id="rId5" Type="http://schemas.openxmlformats.org/officeDocument/2006/relationships/image" Target="../media/image39.wmf"/><Relationship Id="rId49" Type="http://schemas.openxmlformats.org/officeDocument/2006/relationships/image" Target="../media/image58.wmf"/><Relationship Id="rId48" Type="http://schemas.openxmlformats.org/officeDocument/2006/relationships/image" Target="../media/image57.wmf"/><Relationship Id="rId47" Type="http://schemas.openxmlformats.org/officeDocument/2006/relationships/image" Target="../media/image56.wmf"/><Relationship Id="rId46" Type="http://schemas.openxmlformats.org/officeDocument/2006/relationships/image" Target="../media/image55.wmf"/><Relationship Id="rId45" Type="http://schemas.openxmlformats.org/officeDocument/2006/relationships/image" Target="../media/image54.wmf"/><Relationship Id="rId44" Type="http://schemas.openxmlformats.org/officeDocument/2006/relationships/image" Target="../media/image53.wmf"/><Relationship Id="rId43" Type="http://schemas.openxmlformats.org/officeDocument/2006/relationships/image" Target="../media/image52.wmf"/><Relationship Id="rId42" Type="http://schemas.openxmlformats.org/officeDocument/2006/relationships/image" Target="../media/image51.wmf"/><Relationship Id="rId41" Type="http://schemas.openxmlformats.org/officeDocument/2006/relationships/image" Target="../media/image50.wmf"/><Relationship Id="rId40" Type="http://schemas.openxmlformats.org/officeDocument/2006/relationships/image" Target="../media/image49.wmf"/><Relationship Id="rId4" Type="http://schemas.openxmlformats.org/officeDocument/2006/relationships/image" Target="../media/image38.wmf"/><Relationship Id="rId39" Type="http://schemas.openxmlformats.org/officeDocument/2006/relationships/image" Target="../media/image48.wmf"/><Relationship Id="rId38" Type="http://schemas.openxmlformats.org/officeDocument/2006/relationships/image" Target="../media/image47.wmf"/><Relationship Id="rId37" Type="http://schemas.openxmlformats.org/officeDocument/2006/relationships/image" Target="../media/image46.wmf"/><Relationship Id="rId36" Type="http://schemas.openxmlformats.org/officeDocument/2006/relationships/image" Target="../media/image45.wmf"/><Relationship Id="rId35" Type="http://schemas.openxmlformats.org/officeDocument/2006/relationships/image" Target="../media/image44.wmf"/><Relationship Id="rId34" Type="http://schemas.openxmlformats.org/officeDocument/2006/relationships/image" Target="../media/image43.wmf"/><Relationship Id="rId33" Type="http://schemas.openxmlformats.org/officeDocument/2006/relationships/image" Target="../media/image42.wmf"/><Relationship Id="rId32" Type="http://schemas.openxmlformats.org/officeDocument/2006/relationships/image" Target="../media/image34.wmf"/><Relationship Id="rId31" Type="http://schemas.openxmlformats.org/officeDocument/2006/relationships/image" Target="../media/image33.wmf"/><Relationship Id="rId30" Type="http://schemas.openxmlformats.org/officeDocument/2006/relationships/image" Target="../media/image32.wmf"/><Relationship Id="rId3" Type="http://schemas.openxmlformats.org/officeDocument/2006/relationships/image" Target="../media/image37.wmf"/><Relationship Id="rId29" Type="http://schemas.openxmlformats.org/officeDocument/2006/relationships/image" Target="../media/image31.wmf"/><Relationship Id="rId28" Type="http://schemas.openxmlformats.org/officeDocument/2006/relationships/image" Target="../media/image41.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36.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35.wmf"/></Relationships>
</file>

<file path=xl/drawings/_rels/vmlDrawing4.vml.rels><?xml version="1.0" encoding="UTF-8" standalone="yes"?>
<Relationships xmlns="http://schemas.openxmlformats.org/package/2006/relationships"><Relationship Id="rId9" Type="http://schemas.openxmlformats.org/officeDocument/2006/relationships/image" Target="../media/image69.wmf"/><Relationship Id="rId8" Type="http://schemas.openxmlformats.org/officeDocument/2006/relationships/image" Target="../media/image68.wmf"/><Relationship Id="rId7" Type="http://schemas.openxmlformats.org/officeDocument/2006/relationships/image" Target="../media/image67.wmf"/><Relationship Id="rId64" Type="http://schemas.openxmlformats.org/officeDocument/2006/relationships/image" Target="../media/image124.wmf"/><Relationship Id="rId63" Type="http://schemas.openxmlformats.org/officeDocument/2006/relationships/image" Target="../media/image123.wmf"/><Relationship Id="rId62" Type="http://schemas.openxmlformats.org/officeDocument/2006/relationships/image" Target="../media/image122.wmf"/><Relationship Id="rId61" Type="http://schemas.openxmlformats.org/officeDocument/2006/relationships/image" Target="../media/image121.wmf"/><Relationship Id="rId60" Type="http://schemas.openxmlformats.org/officeDocument/2006/relationships/image" Target="../media/image120.wmf"/><Relationship Id="rId6" Type="http://schemas.openxmlformats.org/officeDocument/2006/relationships/image" Target="../media/image66.wmf"/><Relationship Id="rId59" Type="http://schemas.openxmlformats.org/officeDocument/2006/relationships/image" Target="../media/image119.wmf"/><Relationship Id="rId58" Type="http://schemas.openxmlformats.org/officeDocument/2006/relationships/image" Target="../media/image118.wmf"/><Relationship Id="rId57" Type="http://schemas.openxmlformats.org/officeDocument/2006/relationships/image" Target="../media/image117.wmf"/><Relationship Id="rId56" Type="http://schemas.openxmlformats.org/officeDocument/2006/relationships/image" Target="../media/image116.wmf"/><Relationship Id="rId55" Type="http://schemas.openxmlformats.org/officeDocument/2006/relationships/image" Target="../media/image115.wmf"/><Relationship Id="rId54" Type="http://schemas.openxmlformats.org/officeDocument/2006/relationships/image" Target="../media/image114.wmf"/><Relationship Id="rId53" Type="http://schemas.openxmlformats.org/officeDocument/2006/relationships/image" Target="../media/image113.wmf"/><Relationship Id="rId52" Type="http://schemas.openxmlformats.org/officeDocument/2006/relationships/image" Target="../media/image112.wmf"/><Relationship Id="rId51" Type="http://schemas.openxmlformats.org/officeDocument/2006/relationships/image" Target="../media/image111.wmf"/><Relationship Id="rId50" Type="http://schemas.openxmlformats.org/officeDocument/2006/relationships/image" Target="../media/image110.wmf"/><Relationship Id="rId5" Type="http://schemas.openxmlformats.org/officeDocument/2006/relationships/image" Target="../media/image65.wmf"/><Relationship Id="rId49" Type="http://schemas.openxmlformats.org/officeDocument/2006/relationships/image" Target="../media/image109.wmf"/><Relationship Id="rId48" Type="http://schemas.openxmlformats.org/officeDocument/2006/relationships/image" Target="../media/image108.wmf"/><Relationship Id="rId47" Type="http://schemas.openxmlformats.org/officeDocument/2006/relationships/image" Target="../media/image107.wmf"/><Relationship Id="rId46" Type="http://schemas.openxmlformats.org/officeDocument/2006/relationships/image" Target="../media/image106.wmf"/><Relationship Id="rId45" Type="http://schemas.openxmlformats.org/officeDocument/2006/relationships/image" Target="../media/image105.wmf"/><Relationship Id="rId44" Type="http://schemas.openxmlformats.org/officeDocument/2006/relationships/image" Target="../media/image104.wmf"/><Relationship Id="rId43" Type="http://schemas.openxmlformats.org/officeDocument/2006/relationships/image" Target="../media/image103.wmf"/><Relationship Id="rId42" Type="http://schemas.openxmlformats.org/officeDocument/2006/relationships/image" Target="../media/image102.wmf"/><Relationship Id="rId41" Type="http://schemas.openxmlformats.org/officeDocument/2006/relationships/image" Target="../media/image101.wmf"/><Relationship Id="rId40" Type="http://schemas.openxmlformats.org/officeDocument/2006/relationships/image" Target="../media/image100.wmf"/><Relationship Id="rId4" Type="http://schemas.openxmlformats.org/officeDocument/2006/relationships/image" Target="../media/image64.wmf"/><Relationship Id="rId39" Type="http://schemas.openxmlformats.org/officeDocument/2006/relationships/image" Target="../media/image99.wmf"/><Relationship Id="rId38" Type="http://schemas.openxmlformats.org/officeDocument/2006/relationships/image" Target="../media/image98.wmf"/><Relationship Id="rId37" Type="http://schemas.openxmlformats.org/officeDocument/2006/relationships/image" Target="../media/image97.wmf"/><Relationship Id="rId36" Type="http://schemas.openxmlformats.org/officeDocument/2006/relationships/image" Target="../media/image96.wmf"/><Relationship Id="rId35" Type="http://schemas.openxmlformats.org/officeDocument/2006/relationships/image" Target="../media/image95.wmf"/><Relationship Id="rId34" Type="http://schemas.openxmlformats.org/officeDocument/2006/relationships/image" Target="../media/image94.wmf"/><Relationship Id="rId33" Type="http://schemas.openxmlformats.org/officeDocument/2006/relationships/image" Target="../media/image93.wmf"/><Relationship Id="rId32" Type="http://schemas.openxmlformats.org/officeDocument/2006/relationships/image" Target="../media/image92.wmf"/><Relationship Id="rId31" Type="http://schemas.openxmlformats.org/officeDocument/2006/relationships/image" Target="../media/image91.wmf"/><Relationship Id="rId30" Type="http://schemas.openxmlformats.org/officeDocument/2006/relationships/image" Target="../media/image90.wmf"/><Relationship Id="rId3" Type="http://schemas.openxmlformats.org/officeDocument/2006/relationships/image" Target="../media/image63.wmf"/><Relationship Id="rId29" Type="http://schemas.openxmlformats.org/officeDocument/2006/relationships/image" Target="../media/image89.wmf"/><Relationship Id="rId28" Type="http://schemas.openxmlformats.org/officeDocument/2006/relationships/image" Target="../media/image88.wmf"/><Relationship Id="rId27" Type="http://schemas.openxmlformats.org/officeDocument/2006/relationships/image" Target="../media/image87.wmf"/><Relationship Id="rId26" Type="http://schemas.openxmlformats.org/officeDocument/2006/relationships/image" Target="../media/image86.wmf"/><Relationship Id="rId25" Type="http://schemas.openxmlformats.org/officeDocument/2006/relationships/image" Target="../media/image85.wmf"/><Relationship Id="rId24" Type="http://schemas.openxmlformats.org/officeDocument/2006/relationships/image" Target="../media/image84.wmf"/><Relationship Id="rId23" Type="http://schemas.openxmlformats.org/officeDocument/2006/relationships/image" Target="../media/image83.wmf"/><Relationship Id="rId22" Type="http://schemas.openxmlformats.org/officeDocument/2006/relationships/image" Target="../media/image82.wmf"/><Relationship Id="rId21" Type="http://schemas.openxmlformats.org/officeDocument/2006/relationships/image" Target="../media/image81.wmf"/><Relationship Id="rId20" Type="http://schemas.openxmlformats.org/officeDocument/2006/relationships/image" Target="../media/image80.wmf"/><Relationship Id="rId2" Type="http://schemas.openxmlformats.org/officeDocument/2006/relationships/image" Target="../media/image62.wmf"/><Relationship Id="rId19" Type="http://schemas.openxmlformats.org/officeDocument/2006/relationships/image" Target="../media/image79.wmf"/><Relationship Id="rId18" Type="http://schemas.openxmlformats.org/officeDocument/2006/relationships/image" Target="../media/image78.wmf"/><Relationship Id="rId17" Type="http://schemas.openxmlformats.org/officeDocument/2006/relationships/image" Target="../media/image77.wmf"/><Relationship Id="rId16" Type="http://schemas.openxmlformats.org/officeDocument/2006/relationships/image" Target="../media/image76.wmf"/><Relationship Id="rId15" Type="http://schemas.openxmlformats.org/officeDocument/2006/relationships/image" Target="../media/image75.wmf"/><Relationship Id="rId14" Type="http://schemas.openxmlformats.org/officeDocument/2006/relationships/image" Target="../media/image74.wmf"/><Relationship Id="rId13" Type="http://schemas.openxmlformats.org/officeDocument/2006/relationships/image" Target="../media/image73.wmf"/><Relationship Id="rId12" Type="http://schemas.openxmlformats.org/officeDocument/2006/relationships/image" Target="../media/image72.wmf"/><Relationship Id="rId11" Type="http://schemas.openxmlformats.org/officeDocument/2006/relationships/image" Target="../media/image71.wmf"/><Relationship Id="rId10" Type="http://schemas.openxmlformats.org/officeDocument/2006/relationships/image" Target="../media/image70.wmf"/><Relationship Id="rId1" Type="http://schemas.openxmlformats.org/officeDocument/2006/relationships/image" Target="../media/image61.wmf"/></Relationships>
</file>

<file path=xl/drawings/_rels/vmlDrawing5.vml.rels><?xml version="1.0" encoding="UTF-8" standalone="yes"?>
<Relationships xmlns="http://schemas.openxmlformats.org/package/2006/relationships"><Relationship Id="rId9" Type="http://schemas.openxmlformats.org/officeDocument/2006/relationships/image" Target="../media/image133.wmf"/><Relationship Id="rId8" Type="http://schemas.openxmlformats.org/officeDocument/2006/relationships/image" Target="../media/image132.wmf"/><Relationship Id="rId7" Type="http://schemas.openxmlformats.org/officeDocument/2006/relationships/image" Target="../media/image131.wmf"/><Relationship Id="rId6" Type="http://schemas.openxmlformats.org/officeDocument/2006/relationships/image" Target="../media/image130.wmf"/><Relationship Id="rId5" Type="http://schemas.openxmlformats.org/officeDocument/2006/relationships/image" Target="../media/image129.wmf"/><Relationship Id="rId4" Type="http://schemas.openxmlformats.org/officeDocument/2006/relationships/image" Target="../media/image128.wmf"/><Relationship Id="rId3" Type="http://schemas.openxmlformats.org/officeDocument/2006/relationships/image" Target="../media/image127.wmf"/><Relationship Id="rId29" Type="http://schemas.openxmlformats.org/officeDocument/2006/relationships/image" Target="../media/image153.wmf"/><Relationship Id="rId28" Type="http://schemas.openxmlformats.org/officeDocument/2006/relationships/image" Target="../media/image152.wmf"/><Relationship Id="rId27" Type="http://schemas.openxmlformats.org/officeDocument/2006/relationships/image" Target="../media/image151.wmf"/><Relationship Id="rId26" Type="http://schemas.openxmlformats.org/officeDocument/2006/relationships/image" Target="../media/image150.wmf"/><Relationship Id="rId25" Type="http://schemas.openxmlformats.org/officeDocument/2006/relationships/image" Target="../media/image149.wmf"/><Relationship Id="rId24" Type="http://schemas.openxmlformats.org/officeDocument/2006/relationships/image" Target="../media/image148.wmf"/><Relationship Id="rId23" Type="http://schemas.openxmlformats.org/officeDocument/2006/relationships/image" Target="../media/image147.wmf"/><Relationship Id="rId22" Type="http://schemas.openxmlformats.org/officeDocument/2006/relationships/image" Target="../media/image146.wmf"/><Relationship Id="rId21" Type="http://schemas.openxmlformats.org/officeDocument/2006/relationships/image" Target="../media/image145.wmf"/><Relationship Id="rId20" Type="http://schemas.openxmlformats.org/officeDocument/2006/relationships/image" Target="../media/image144.wmf"/><Relationship Id="rId2" Type="http://schemas.openxmlformats.org/officeDocument/2006/relationships/image" Target="../media/image126.wmf"/><Relationship Id="rId19" Type="http://schemas.openxmlformats.org/officeDocument/2006/relationships/image" Target="../media/image143.wmf"/><Relationship Id="rId18" Type="http://schemas.openxmlformats.org/officeDocument/2006/relationships/image" Target="../media/image142.wmf"/><Relationship Id="rId17" Type="http://schemas.openxmlformats.org/officeDocument/2006/relationships/image" Target="../media/image141.wmf"/><Relationship Id="rId16" Type="http://schemas.openxmlformats.org/officeDocument/2006/relationships/image" Target="../media/image140.wmf"/><Relationship Id="rId15" Type="http://schemas.openxmlformats.org/officeDocument/2006/relationships/image" Target="../media/image139.wmf"/><Relationship Id="rId14" Type="http://schemas.openxmlformats.org/officeDocument/2006/relationships/image" Target="../media/image138.wmf"/><Relationship Id="rId13" Type="http://schemas.openxmlformats.org/officeDocument/2006/relationships/image" Target="../media/image137.wmf"/><Relationship Id="rId12" Type="http://schemas.openxmlformats.org/officeDocument/2006/relationships/image" Target="../media/image136.wmf"/><Relationship Id="rId11" Type="http://schemas.openxmlformats.org/officeDocument/2006/relationships/image" Target="../media/image135.wmf"/><Relationship Id="rId10" Type="http://schemas.openxmlformats.org/officeDocument/2006/relationships/image" Target="../media/image134.wmf"/><Relationship Id="rId1" Type="http://schemas.openxmlformats.org/officeDocument/2006/relationships/image" Target="../media/image125.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1085850</xdr:colOff>
          <xdr:row>23</xdr:row>
          <xdr:rowOff>47625</xdr:rowOff>
        </xdr:from>
        <xdr:to>
          <xdr:col>3</xdr:col>
          <xdr:colOff>1866900</xdr:colOff>
          <xdr:row>23</xdr:row>
          <xdr:rowOff>428625</xdr:rowOff>
        </xdr:to>
        <xdr:sp>
          <xdr:nvSpPr>
            <xdr:cNvPr id="97292" name="Object 12" hidden="1">
              <a:extLst>
                <a:ext uri="{63B3BB69-23CF-44E3-9099-C40C66FF867C}">
                  <a14:compatExt spid="_x0000_s97292"/>
                </a:ext>
              </a:extLst>
            </xdr:cNvPr>
            <xdr:cNvSpPr/>
          </xdr:nvSpPr>
          <xdr:spPr>
            <a:xfrm>
              <a:off x="6181725" y="10300335"/>
              <a:ext cx="78105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1038225</xdr:colOff>
          <xdr:row>16</xdr:row>
          <xdr:rowOff>28575</xdr:rowOff>
        </xdr:from>
        <xdr:to>
          <xdr:col>3</xdr:col>
          <xdr:colOff>1914525</xdr:colOff>
          <xdr:row>16</xdr:row>
          <xdr:rowOff>409575</xdr:rowOff>
        </xdr:to>
        <xdr:sp>
          <xdr:nvSpPr>
            <xdr:cNvPr id="97293" name="Object 13" hidden="1">
              <a:extLst>
                <a:ext uri="{63B3BB69-23CF-44E3-9099-C40C66FF867C}">
                  <a14:compatExt spid="_x0000_s97293"/>
                </a:ext>
              </a:extLst>
            </xdr:cNvPr>
            <xdr:cNvSpPr/>
          </xdr:nvSpPr>
          <xdr:spPr>
            <a:xfrm>
              <a:off x="6134100" y="7160895"/>
              <a:ext cx="87630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1000125</xdr:colOff>
          <xdr:row>17</xdr:row>
          <xdr:rowOff>19050</xdr:rowOff>
        </xdr:from>
        <xdr:to>
          <xdr:col>3</xdr:col>
          <xdr:colOff>2028825</xdr:colOff>
          <xdr:row>17</xdr:row>
          <xdr:rowOff>400050</xdr:rowOff>
        </xdr:to>
        <xdr:sp>
          <xdr:nvSpPr>
            <xdr:cNvPr id="97294" name="Object 14" hidden="1">
              <a:extLst>
                <a:ext uri="{63B3BB69-23CF-44E3-9099-C40C66FF867C}">
                  <a14:compatExt spid="_x0000_s97294"/>
                </a:ext>
              </a:extLst>
            </xdr:cNvPr>
            <xdr:cNvSpPr/>
          </xdr:nvSpPr>
          <xdr:spPr>
            <a:xfrm>
              <a:off x="6096000" y="7597140"/>
              <a:ext cx="102870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942975</xdr:colOff>
          <xdr:row>18</xdr:row>
          <xdr:rowOff>28575</xdr:rowOff>
        </xdr:from>
        <xdr:to>
          <xdr:col>3</xdr:col>
          <xdr:colOff>2105025</xdr:colOff>
          <xdr:row>18</xdr:row>
          <xdr:rowOff>419100</xdr:rowOff>
        </xdr:to>
        <xdr:sp>
          <xdr:nvSpPr>
            <xdr:cNvPr id="97295" name="Object 15" hidden="1">
              <a:extLst>
                <a:ext uri="{63B3BB69-23CF-44E3-9099-C40C66FF867C}">
                  <a14:compatExt spid="_x0000_s97295"/>
                </a:ext>
              </a:extLst>
            </xdr:cNvPr>
            <xdr:cNvSpPr/>
          </xdr:nvSpPr>
          <xdr:spPr>
            <a:xfrm>
              <a:off x="6038850" y="8052435"/>
              <a:ext cx="1162050"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895350</xdr:colOff>
          <xdr:row>19</xdr:row>
          <xdr:rowOff>38100</xdr:rowOff>
        </xdr:from>
        <xdr:to>
          <xdr:col>3</xdr:col>
          <xdr:colOff>2105025</xdr:colOff>
          <xdr:row>19</xdr:row>
          <xdr:rowOff>428625</xdr:rowOff>
        </xdr:to>
        <xdr:sp>
          <xdr:nvSpPr>
            <xdr:cNvPr id="97296" name="Object 16" hidden="1">
              <a:extLst>
                <a:ext uri="{63B3BB69-23CF-44E3-9099-C40C66FF867C}">
                  <a14:compatExt spid="_x0000_s97296"/>
                </a:ext>
              </a:extLst>
            </xdr:cNvPr>
            <xdr:cNvSpPr/>
          </xdr:nvSpPr>
          <xdr:spPr>
            <a:xfrm>
              <a:off x="5991225" y="8507730"/>
              <a:ext cx="120967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20</xdr:row>
          <xdr:rowOff>47625</xdr:rowOff>
        </xdr:from>
        <xdr:to>
          <xdr:col>3</xdr:col>
          <xdr:colOff>1943100</xdr:colOff>
          <xdr:row>20</xdr:row>
          <xdr:rowOff>438150</xdr:rowOff>
        </xdr:to>
        <xdr:sp>
          <xdr:nvSpPr>
            <xdr:cNvPr id="97297" name="Object 17" hidden="1">
              <a:extLst>
                <a:ext uri="{63B3BB69-23CF-44E3-9099-C40C66FF867C}">
                  <a14:compatExt spid="_x0000_s97297"/>
                </a:ext>
              </a:extLst>
            </xdr:cNvPr>
            <xdr:cNvSpPr/>
          </xdr:nvSpPr>
          <xdr:spPr>
            <a:xfrm>
              <a:off x="6019800" y="8963025"/>
              <a:ext cx="101917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27</xdr:row>
          <xdr:rowOff>28575</xdr:rowOff>
        </xdr:from>
        <xdr:to>
          <xdr:col>3</xdr:col>
          <xdr:colOff>2143125</xdr:colOff>
          <xdr:row>27</xdr:row>
          <xdr:rowOff>723900</xdr:rowOff>
        </xdr:to>
        <xdr:sp>
          <xdr:nvSpPr>
            <xdr:cNvPr id="97299" name="Object 19" hidden="1">
              <a:extLst>
                <a:ext uri="{63B3BB69-23CF-44E3-9099-C40C66FF867C}">
                  <a14:compatExt spid="_x0000_s97299"/>
                </a:ext>
              </a:extLst>
            </xdr:cNvPr>
            <xdr:cNvSpPr/>
          </xdr:nvSpPr>
          <xdr:spPr>
            <a:xfrm>
              <a:off x="5886450" y="12064365"/>
              <a:ext cx="1352550"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55</xdr:row>
          <xdr:rowOff>66675</xdr:rowOff>
        </xdr:from>
        <xdr:to>
          <xdr:col>3</xdr:col>
          <xdr:colOff>2486025</xdr:colOff>
          <xdr:row>55</xdr:row>
          <xdr:rowOff>361950</xdr:rowOff>
        </xdr:to>
        <xdr:sp>
          <xdr:nvSpPr>
            <xdr:cNvPr id="97300" name="Object 20" hidden="1">
              <a:extLst>
                <a:ext uri="{63B3BB69-23CF-44E3-9099-C40C66FF867C}">
                  <a14:compatExt spid="_x0000_s97300"/>
                </a:ext>
              </a:extLst>
            </xdr:cNvPr>
            <xdr:cNvSpPr/>
          </xdr:nvSpPr>
          <xdr:spPr>
            <a:xfrm>
              <a:off x="5505450" y="28557220"/>
              <a:ext cx="2076450" cy="295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581025</xdr:colOff>
          <xdr:row>56</xdr:row>
          <xdr:rowOff>76200</xdr:rowOff>
        </xdr:from>
        <xdr:to>
          <xdr:col>3</xdr:col>
          <xdr:colOff>2333625</xdr:colOff>
          <xdr:row>56</xdr:row>
          <xdr:rowOff>885825</xdr:rowOff>
        </xdr:to>
        <xdr:sp>
          <xdr:nvSpPr>
            <xdr:cNvPr id="97301" name="Object 21" hidden="1">
              <a:extLst>
                <a:ext uri="{63B3BB69-23CF-44E3-9099-C40C66FF867C}">
                  <a14:compatExt spid="_x0000_s97301"/>
                </a:ext>
              </a:extLst>
            </xdr:cNvPr>
            <xdr:cNvSpPr/>
          </xdr:nvSpPr>
          <xdr:spPr>
            <a:xfrm>
              <a:off x="5676900" y="29012515"/>
              <a:ext cx="1752600" cy="809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581025</xdr:colOff>
          <xdr:row>57</xdr:row>
          <xdr:rowOff>66675</xdr:rowOff>
        </xdr:from>
        <xdr:to>
          <xdr:col>3</xdr:col>
          <xdr:colOff>2343150</xdr:colOff>
          <xdr:row>57</xdr:row>
          <xdr:rowOff>866775</xdr:rowOff>
        </xdr:to>
        <xdr:sp>
          <xdr:nvSpPr>
            <xdr:cNvPr id="97302" name="Object 22" hidden="1">
              <a:extLst>
                <a:ext uri="{63B3BB69-23CF-44E3-9099-C40C66FF867C}">
                  <a14:compatExt spid="_x0000_s97302"/>
                </a:ext>
              </a:extLst>
            </xdr:cNvPr>
            <xdr:cNvSpPr/>
          </xdr:nvSpPr>
          <xdr:spPr>
            <a:xfrm>
              <a:off x="5676900" y="29982160"/>
              <a:ext cx="1762125" cy="800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58</xdr:row>
          <xdr:rowOff>28575</xdr:rowOff>
        </xdr:from>
        <xdr:to>
          <xdr:col>3</xdr:col>
          <xdr:colOff>2085975</xdr:colOff>
          <xdr:row>58</xdr:row>
          <xdr:rowOff>723900</xdr:rowOff>
        </xdr:to>
        <xdr:sp>
          <xdr:nvSpPr>
            <xdr:cNvPr id="97303" name="Object 23" hidden="1">
              <a:extLst>
                <a:ext uri="{63B3BB69-23CF-44E3-9099-C40C66FF867C}">
                  <a14:compatExt spid="_x0000_s97303"/>
                </a:ext>
              </a:extLst>
            </xdr:cNvPr>
            <xdr:cNvSpPr/>
          </xdr:nvSpPr>
          <xdr:spPr>
            <a:xfrm>
              <a:off x="5886450" y="30858460"/>
              <a:ext cx="1295400"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762000</xdr:colOff>
          <xdr:row>59</xdr:row>
          <xdr:rowOff>47625</xdr:rowOff>
        </xdr:from>
        <xdr:to>
          <xdr:col>3</xdr:col>
          <xdr:colOff>2114550</xdr:colOff>
          <xdr:row>59</xdr:row>
          <xdr:rowOff>733425</xdr:rowOff>
        </xdr:to>
        <xdr:sp>
          <xdr:nvSpPr>
            <xdr:cNvPr id="97304" name="Object 24" hidden="1">
              <a:extLst>
                <a:ext uri="{63B3BB69-23CF-44E3-9099-C40C66FF867C}">
                  <a14:compatExt spid="_x0000_s97304"/>
                </a:ext>
              </a:extLst>
            </xdr:cNvPr>
            <xdr:cNvSpPr/>
          </xdr:nvSpPr>
          <xdr:spPr>
            <a:xfrm>
              <a:off x="5857875" y="31639510"/>
              <a:ext cx="1352550" cy="685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495300</xdr:colOff>
          <xdr:row>61</xdr:row>
          <xdr:rowOff>28575</xdr:rowOff>
        </xdr:from>
        <xdr:to>
          <xdr:col>3</xdr:col>
          <xdr:colOff>2600325</xdr:colOff>
          <xdr:row>61</xdr:row>
          <xdr:rowOff>657225</xdr:rowOff>
        </xdr:to>
        <xdr:sp>
          <xdr:nvSpPr>
            <xdr:cNvPr id="97305" name="Object 25" hidden="1">
              <a:extLst>
                <a:ext uri="{63B3BB69-23CF-44E3-9099-C40C66FF867C}">
                  <a14:compatExt spid="_x0000_s97305"/>
                </a:ext>
              </a:extLst>
            </xdr:cNvPr>
            <xdr:cNvSpPr/>
          </xdr:nvSpPr>
          <xdr:spPr>
            <a:xfrm>
              <a:off x="5591175" y="32866330"/>
              <a:ext cx="2105025" cy="628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62</xdr:row>
          <xdr:rowOff>76200</xdr:rowOff>
        </xdr:from>
        <xdr:to>
          <xdr:col>3</xdr:col>
          <xdr:colOff>2466975</xdr:colOff>
          <xdr:row>62</xdr:row>
          <xdr:rowOff>581025</xdr:rowOff>
        </xdr:to>
        <xdr:sp>
          <xdr:nvSpPr>
            <xdr:cNvPr id="97306" name="Object 26" hidden="1">
              <a:extLst>
                <a:ext uri="{63B3BB69-23CF-44E3-9099-C40C66FF867C}">
                  <a14:compatExt spid="_x0000_s97306"/>
                </a:ext>
              </a:extLst>
            </xdr:cNvPr>
            <xdr:cNvSpPr/>
          </xdr:nvSpPr>
          <xdr:spPr>
            <a:xfrm>
              <a:off x="5619750" y="33599755"/>
              <a:ext cx="1943100"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1143000</xdr:colOff>
          <xdr:row>64</xdr:row>
          <xdr:rowOff>76200</xdr:rowOff>
        </xdr:from>
        <xdr:to>
          <xdr:col>3</xdr:col>
          <xdr:colOff>1895475</xdr:colOff>
          <xdr:row>64</xdr:row>
          <xdr:rowOff>733425</xdr:rowOff>
        </xdr:to>
        <xdr:sp>
          <xdr:nvSpPr>
            <xdr:cNvPr id="97307" name="Object 27" hidden="1">
              <a:extLst>
                <a:ext uri="{63B3BB69-23CF-44E3-9099-C40C66FF867C}">
                  <a14:compatExt spid="_x0000_s97307"/>
                </a:ext>
              </a:extLst>
            </xdr:cNvPr>
            <xdr:cNvSpPr/>
          </xdr:nvSpPr>
          <xdr:spPr>
            <a:xfrm>
              <a:off x="6238875" y="34895790"/>
              <a:ext cx="752475"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63</xdr:row>
          <xdr:rowOff>123825</xdr:rowOff>
        </xdr:from>
        <xdr:to>
          <xdr:col>3</xdr:col>
          <xdr:colOff>2085975</xdr:colOff>
          <xdr:row>63</xdr:row>
          <xdr:rowOff>561975</xdr:rowOff>
        </xdr:to>
        <xdr:sp>
          <xdr:nvSpPr>
            <xdr:cNvPr id="97308" name="Object 28" hidden="1">
              <a:extLst>
                <a:ext uri="{63B3BB69-23CF-44E3-9099-C40C66FF867C}">
                  <a14:compatExt spid="_x0000_s97308"/>
                </a:ext>
              </a:extLst>
            </xdr:cNvPr>
            <xdr:cNvSpPr/>
          </xdr:nvSpPr>
          <xdr:spPr>
            <a:xfrm>
              <a:off x="6010275" y="34307145"/>
              <a:ext cx="1171575"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65</xdr:row>
          <xdr:rowOff>57150</xdr:rowOff>
        </xdr:from>
        <xdr:to>
          <xdr:col>3</xdr:col>
          <xdr:colOff>2133600</xdr:colOff>
          <xdr:row>65</xdr:row>
          <xdr:rowOff>523875</xdr:rowOff>
        </xdr:to>
        <xdr:sp>
          <xdr:nvSpPr>
            <xdr:cNvPr id="97309" name="Object 29" hidden="1">
              <a:extLst>
                <a:ext uri="{63B3BB69-23CF-44E3-9099-C40C66FF867C}">
                  <a14:compatExt spid="_x0000_s97309"/>
                </a:ext>
              </a:extLst>
            </xdr:cNvPr>
            <xdr:cNvSpPr/>
          </xdr:nvSpPr>
          <xdr:spPr>
            <a:xfrm>
              <a:off x="6010275" y="35665410"/>
              <a:ext cx="1219200" cy="466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542925</xdr:colOff>
          <xdr:row>66</xdr:row>
          <xdr:rowOff>57150</xdr:rowOff>
        </xdr:from>
        <xdr:to>
          <xdr:col>3</xdr:col>
          <xdr:colOff>2486025</xdr:colOff>
          <xdr:row>66</xdr:row>
          <xdr:rowOff>561975</xdr:rowOff>
        </xdr:to>
        <xdr:sp>
          <xdr:nvSpPr>
            <xdr:cNvPr id="97310" name="Object 30" hidden="1">
              <a:extLst>
                <a:ext uri="{63B3BB69-23CF-44E3-9099-C40C66FF867C}">
                  <a14:compatExt spid="_x0000_s97310"/>
                </a:ext>
              </a:extLst>
            </xdr:cNvPr>
            <xdr:cNvSpPr/>
          </xdr:nvSpPr>
          <xdr:spPr>
            <a:xfrm>
              <a:off x="5638800" y="36263580"/>
              <a:ext cx="1943100"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904875</xdr:colOff>
          <xdr:row>67</xdr:row>
          <xdr:rowOff>66675</xdr:rowOff>
        </xdr:from>
        <xdr:to>
          <xdr:col>3</xdr:col>
          <xdr:colOff>2085975</xdr:colOff>
          <xdr:row>67</xdr:row>
          <xdr:rowOff>495300</xdr:rowOff>
        </xdr:to>
        <xdr:sp>
          <xdr:nvSpPr>
            <xdr:cNvPr id="97312" name="Object 32" hidden="1">
              <a:extLst>
                <a:ext uri="{63B3BB69-23CF-44E3-9099-C40C66FF867C}">
                  <a14:compatExt spid="_x0000_s97312"/>
                </a:ext>
              </a:extLst>
            </xdr:cNvPr>
            <xdr:cNvSpPr/>
          </xdr:nvSpPr>
          <xdr:spPr>
            <a:xfrm>
              <a:off x="6000750" y="36909375"/>
              <a:ext cx="11811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638175</xdr:colOff>
          <xdr:row>28</xdr:row>
          <xdr:rowOff>47625</xdr:rowOff>
        </xdr:from>
        <xdr:to>
          <xdr:col>3</xdr:col>
          <xdr:colOff>2381250</xdr:colOff>
          <xdr:row>28</xdr:row>
          <xdr:rowOff>762000</xdr:rowOff>
        </xdr:to>
        <xdr:sp>
          <xdr:nvSpPr>
            <xdr:cNvPr id="97313" name="Object 33" hidden="1">
              <a:extLst>
                <a:ext uri="{63B3BB69-23CF-44E3-9099-C40C66FF867C}">
                  <a14:compatExt spid="_x0000_s97313"/>
                </a:ext>
              </a:extLst>
            </xdr:cNvPr>
            <xdr:cNvSpPr/>
          </xdr:nvSpPr>
          <xdr:spPr>
            <a:xfrm>
              <a:off x="5734050" y="12845415"/>
              <a:ext cx="1743075" cy="714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857250</xdr:colOff>
          <xdr:row>29</xdr:row>
          <xdr:rowOff>66675</xdr:rowOff>
        </xdr:from>
        <xdr:to>
          <xdr:col>3</xdr:col>
          <xdr:colOff>2190750</xdr:colOff>
          <xdr:row>29</xdr:row>
          <xdr:rowOff>542925</xdr:rowOff>
        </xdr:to>
        <xdr:sp>
          <xdr:nvSpPr>
            <xdr:cNvPr id="97314" name="Object 34" hidden="1">
              <a:extLst>
                <a:ext uri="{63B3BB69-23CF-44E3-9099-C40C66FF867C}">
                  <a14:compatExt spid="_x0000_s97314"/>
                </a:ext>
              </a:extLst>
            </xdr:cNvPr>
            <xdr:cNvSpPr/>
          </xdr:nvSpPr>
          <xdr:spPr>
            <a:xfrm>
              <a:off x="5953125" y="13664565"/>
              <a:ext cx="1333500"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857250</xdr:colOff>
          <xdr:row>108</xdr:row>
          <xdr:rowOff>66675</xdr:rowOff>
        </xdr:from>
        <xdr:to>
          <xdr:col>3</xdr:col>
          <xdr:colOff>2162175</xdr:colOff>
          <xdr:row>108</xdr:row>
          <xdr:rowOff>361950</xdr:rowOff>
        </xdr:to>
        <xdr:sp>
          <xdr:nvSpPr>
            <xdr:cNvPr id="97315" name="Object 30722" hidden="1">
              <a:extLst>
                <a:ext uri="{63B3BB69-23CF-44E3-9099-C40C66FF867C}">
                  <a14:compatExt spid="_x0000_s97315"/>
                </a:ext>
              </a:extLst>
            </xdr:cNvPr>
            <xdr:cNvSpPr/>
          </xdr:nvSpPr>
          <xdr:spPr>
            <a:xfrm>
              <a:off x="5953125" y="55323740"/>
              <a:ext cx="1304925" cy="295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109</xdr:row>
          <xdr:rowOff>76200</xdr:rowOff>
        </xdr:from>
        <xdr:to>
          <xdr:col>3</xdr:col>
          <xdr:colOff>2762250</xdr:colOff>
          <xdr:row>109</xdr:row>
          <xdr:rowOff>381000</xdr:rowOff>
        </xdr:to>
        <xdr:sp>
          <xdr:nvSpPr>
            <xdr:cNvPr id="97316" name="Object 30723" hidden="1">
              <a:extLst>
                <a:ext uri="{63B3BB69-23CF-44E3-9099-C40C66FF867C}">
                  <a14:compatExt spid="_x0000_s97316"/>
                </a:ext>
              </a:extLst>
            </xdr:cNvPr>
            <xdr:cNvSpPr/>
          </xdr:nvSpPr>
          <xdr:spPr>
            <a:xfrm>
              <a:off x="5514975" y="55779035"/>
              <a:ext cx="2343150" cy="304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33</xdr:row>
          <xdr:rowOff>28575</xdr:rowOff>
        </xdr:from>
        <xdr:to>
          <xdr:col>3</xdr:col>
          <xdr:colOff>1628775</xdr:colOff>
          <xdr:row>33</xdr:row>
          <xdr:rowOff>428625</xdr:rowOff>
        </xdr:to>
        <xdr:sp>
          <xdr:nvSpPr>
            <xdr:cNvPr id="97317" name="Object 37" hidden="1">
              <a:extLst>
                <a:ext uri="{63B3BB69-23CF-44E3-9099-C40C66FF867C}">
                  <a14:compatExt spid="_x0000_s97317"/>
                </a:ext>
              </a:extLst>
            </xdr:cNvPr>
            <xdr:cNvSpPr/>
          </xdr:nvSpPr>
          <xdr:spPr>
            <a:xfrm>
              <a:off x="6467475" y="15708630"/>
              <a:ext cx="257175"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1228725</xdr:colOff>
          <xdr:row>31</xdr:row>
          <xdr:rowOff>28575</xdr:rowOff>
        </xdr:from>
        <xdr:to>
          <xdr:col>3</xdr:col>
          <xdr:colOff>1790700</xdr:colOff>
          <xdr:row>31</xdr:row>
          <xdr:rowOff>447675</xdr:rowOff>
        </xdr:to>
        <xdr:sp>
          <xdr:nvSpPr>
            <xdr:cNvPr id="97318" name="Object 38" hidden="1">
              <a:extLst>
                <a:ext uri="{63B3BB69-23CF-44E3-9099-C40C66FF867C}">
                  <a14:compatExt spid="_x0000_s97318"/>
                </a:ext>
              </a:extLst>
            </xdr:cNvPr>
            <xdr:cNvSpPr/>
          </xdr:nvSpPr>
          <xdr:spPr>
            <a:xfrm>
              <a:off x="6324600" y="14679295"/>
              <a:ext cx="56197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32</xdr:row>
          <xdr:rowOff>28575</xdr:rowOff>
        </xdr:from>
        <xdr:to>
          <xdr:col>3</xdr:col>
          <xdr:colOff>1876425</xdr:colOff>
          <xdr:row>32</xdr:row>
          <xdr:rowOff>495300</xdr:rowOff>
        </xdr:to>
        <xdr:sp>
          <xdr:nvSpPr>
            <xdr:cNvPr id="97319" name="Object 39" hidden="1">
              <a:extLst>
                <a:ext uri="{63B3BB69-23CF-44E3-9099-C40C66FF867C}">
                  <a14:compatExt spid="_x0000_s97319"/>
                </a:ext>
              </a:extLst>
            </xdr:cNvPr>
            <xdr:cNvSpPr/>
          </xdr:nvSpPr>
          <xdr:spPr>
            <a:xfrm>
              <a:off x="6124575" y="15201265"/>
              <a:ext cx="847725" cy="466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1228725</xdr:colOff>
          <xdr:row>30</xdr:row>
          <xdr:rowOff>28575</xdr:rowOff>
        </xdr:from>
        <xdr:to>
          <xdr:col>3</xdr:col>
          <xdr:colOff>1733550</xdr:colOff>
          <xdr:row>30</xdr:row>
          <xdr:rowOff>447675</xdr:rowOff>
        </xdr:to>
        <xdr:sp>
          <xdr:nvSpPr>
            <xdr:cNvPr id="97320" name="Object 40" hidden="1">
              <a:extLst>
                <a:ext uri="{63B3BB69-23CF-44E3-9099-C40C66FF867C}">
                  <a14:compatExt spid="_x0000_s97320"/>
                </a:ext>
              </a:extLst>
            </xdr:cNvPr>
            <xdr:cNvSpPr/>
          </xdr:nvSpPr>
          <xdr:spPr>
            <a:xfrm>
              <a:off x="6324600" y="14210030"/>
              <a:ext cx="50482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219075</xdr:colOff>
          <xdr:row>48</xdr:row>
          <xdr:rowOff>85725</xdr:rowOff>
        </xdr:from>
        <xdr:to>
          <xdr:col>3</xdr:col>
          <xdr:colOff>2676525</xdr:colOff>
          <xdr:row>48</xdr:row>
          <xdr:rowOff>1162050</xdr:rowOff>
        </xdr:to>
        <xdr:sp>
          <xdr:nvSpPr>
            <xdr:cNvPr id="97321" name="Object 41" hidden="1">
              <a:extLst>
                <a:ext uri="{63B3BB69-23CF-44E3-9099-C40C66FF867C}">
                  <a14:compatExt spid="_x0000_s97321"/>
                </a:ext>
              </a:extLst>
            </xdr:cNvPr>
            <xdr:cNvSpPr/>
          </xdr:nvSpPr>
          <xdr:spPr>
            <a:xfrm>
              <a:off x="5314950" y="22806660"/>
              <a:ext cx="2457450" cy="1076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49</xdr:row>
          <xdr:rowOff>76200</xdr:rowOff>
        </xdr:from>
        <xdr:to>
          <xdr:col>3</xdr:col>
          <xdr:colOff>2466975</xdr:colOff>
          <xdr:row>49</xdr:row>
          <xdr:rowOff>1133475</xdr:rowOff>
        </xdr:to>
        <xdr:sp>
          <xdr:nvSpPr>
            <xdr:cNvPr id="97322" name="Object 42" hidden="1">
              <a:extLst>
                <a:ext uri="{63B3BB69-23CF-44E3-9099-C40C66FF867C}">
                  <a14:compatExt spid="_x0000_s97322"/>
                </a:ext>
              </a:extLst>
            </xdr:cNvPr>
            <xdr:cNvSpPr/>
          </xdr:nvSpPr>
          <xdr:spPr>
            <a:xfrm>
              <a:off x="5524500" y="24066500"/>
              <a:ext cx="2038350" cy="1057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1066800</xdr:colOff>
          <xdr:row>50</xdr:row>
          <xdr:rowOff>47625</xdr:rowOff>
        </xdr:from>
        <xdr:to>
          <xdr:col>3</xdr:col>
          <xdr:colOff>1857375</xdr:colOff>
          <xdr:row>50</xdr:row>
          <xdr:rowOff>628650</xdr:rowOff>
        </xdr:to>
        <xdr:sp>
          <xdr:nvSpPr>
            <xdr:cNvPr id="97323" name="Object 43" hidden="1">
              <a:extLst>
                <a:ext uri="{63B3BB69-23CF-44E3-9099-C40C66FF867C}">
                  <a14:compatExt spid="_x0000_s97323"/>
                </a:ext>
              </a:extLst>
            </xdr:cNvPr>
            <xdr:cNvSpPr/>
          </xdr:nvSpPr>
          <xdr:spPr>
            <a:xfrm>
              <a:off x="6162675" y="25245695"/>
              <a:ext cx="790575" cy="581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1057275</xdr:colOff>
          <xdr:row>51</xdr:row>
          <xdr:rowOff>104775</xdr:rowOff>
        </xdr:from>
        <xdr:to>
          <xdr:col>3</xdr:col>
          <xdr:colOff>1828800</xdr:colOff>
          <xdr:row>51</xdr:row>
          <xdr:rowOff>638175</xdr:rowOff>
        </xdr:to>
        <xdr:sp>
          <xdr:nvSpPr>
            <xdr:cNvPr id="97324" name="Object 44" hidden="1">
              <a:extLst>
                <a:ext uri="{63B3BB69-23CF-44E3-9099-C40C66FF867C}">
                  <a14:compatExt spid="_x0000_s97324"/>
                </a:ext>
              </a:extLst>
            </xdr:cNvPr>
            <xdr:cNvSpPr/>
          </xdr:nvSpPr>
          <xdr:spPr>
            <a:xfrm>
              <a:off x="6153150" y="25962610"/>
              <a:ext cx="771525" cy="533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942975</xdr:colOff>
          <xdr:row>52</xdr:row>
          <xdr:rowOff>57150</xdr:rowOff>
        </xdr:from>
        <xdr:to>
          <xdr:col>3</xdr:col>
          <xdr:colOff>1933575</xdr:colOff>
          <xdr:row>52</xdr:row>
          <xdr:rowOff>666750</xdr:rowOff>
        </xdr:to>
        <xdr:sp>
          <xdr:nvSpPr>
            <xdr:cNvPr id="97325" name="Object 45" hidden="1">
              <a:extLst>
                <a:ext uri="{63B3BB69-23CF-44E3-9099-C40C66FF867C}">
                  <a14:compatExt spid="_x0000_s97325"/>
                </a:ext>
              </a:extLst>
            </xdr:cNvPr>
            <xdr:cNvSpPr/>
          </xdr:nvSpPr>
          <xdr:spPr>
            <a:xfrm>
              <a:off x="6038850" y="26638885"/>
              <a:ext cx="990600" cy="609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53</xdr:row>
          <xdr:rowOff>66675</xdr:rowOff>
        </xdr:from>
        <xdr:to>
          <xdr:col>3</xdr:col>
          <xdr:colOff>1914525</xdr:colOff>
          <xdr:row>53</xdr:row>
          <xdr:rowOff>581025</xdr:rowOff>
        </xdr:to>
        <xdr:sp>
          <xdr:nvSpPr>
            <xdr:cNvPr id="97326" name="Object 46" hidden="1">
              <a:extLst>
                <a:ext uri="{63B3BB69-23CF-44E3-9099-C40C66FF867C}">
                  <a14:compatExt spid="_x0000_s97326"/>
                </a:ext>
              </a:extLst>
            </xdr:cNvPr>
            <xdr:cNvSpPr/>
          </xdr:nvSpPr>
          <xdr:spPr>
            <a:xfrm>
              <a:off x="6010275" y="27360880"/>
              <a:ext cx="1000125" cy="5143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1019175</xdr:colOff>
          <xdr:row>54</xdr:row>
          <xdr:rowOff>133350</xdr:rowOff>
        </xdr:from>
        <xdr:to>
          <xdr:col>3</xdr:col>
          <xdr:colOff>1781175</xdr:colOff>
          <xdr:row>54</xdr:row>
          <xdr:rowOff>457200</xdr:rowOff>
        </xdr:to>
        <xdr:sp>
          <xdr:nvSpPr>
            <xdr:cNvPr id="97328" name="Object 48" hidden="1">
              <a:extLst>
                <a:ext uri="{63B3BB69-23CF-44E3-9099-C40C66FF867C}">
                  <a14:compatExt spid="_x0000_s97328"/>
                </a:ext>
              </a:extLst>
            </xdr:cNvPr>
            <xdr:cNvSpPr/>
          </xdr:nvSpPr>
          <xdr:spPr>
            <a:xfrm>
              <a:off x="6115050" y="28025725"/>
              <a:ext cx="762000" cy="32385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1343025</xdr:colOff>
          <xdr:row>63</xdr:row>
          <xdr:rowOff>9525</xdr:rowOff>
        </xdr:from>
        <xdr:to>
          <xdr:col>3</xdr:col>
          <xdr:colOff>2095500</xdr:colOff>
          <xdr:row>63</xdr:row>
          <xdr:rowOff>390525</xdr:rowOff>
        </xdr:to>
        <xdr:sp>
          <xdr:nvSpPr>
            <xdr:cNvPr id="106497" name="Object 1" hidden="1">
              <a:extLst>
                <a:ext uri="{63B3BB69-23CF-44E3-9099-C40C66FF867C}">
                  <a14:compatExt spid="_x0000_s106497"/>
                </a:ext>
              </a:extLst>
            </xdr:cNvPr>
            <xdr:cNvSpPr/>
          </xdr:nvSpPr>
          <xdr:spPr>
            <a:xfrm>
              <a:off x="7458075" y="28093035"/>
              <a:ext cx="752475"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1381125</xdr:colOff>
          <xdr:row>55</xdr:row>
          <xdr:rowOff>19050</xdr:rowOff>
        </xdr:from>
        <xdr:to>
          <xdr:col>3</xdr:col>
          <xdr:colOff>2400300</xdr:colOff>
          <xdr:row>55</xdr:row>
          <xdr:rowOff>390525</xdr:rowOff>
        </xdr:to>
        <xdr:sp>
          <xdr:nvSpPr>
            <xdr:cNvPr id="106498" name="Object 2" hidden="1">
              <a:extLst>
                <a:ext uri="{63B3BB69-23CF-44E3-9099-C40C66FF867C}">
                  <a14:compatExt spid="_x0000_s106498"/>
                </a:ext>
              </a:extLst>
            </xdr:cNvPr>
            <xdr:cNvSpPr/>
          </xdr:nvSpPr>
          <xdr:spPr>
            <a:xfrm>
              <a:off x="7496175" y="24536400"/>
              <a:ext cx="1019175" cy="3714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1343025</xdr:colOff>
          <xdr:row>56</xdr:row>
          <xdr:rowOff>9525</xdr:rowOff>
        </xdr:from>
        <xdr:to>
          <xdr:col>3</xdr:col>
          <xdr:colOff>2524125</xdr:colOff>
          <xdr:row>56</xdr:row>
          <xdr:rowOff>390525</xdr:rowOff>
        </xdr:to>
        <xdr:sp>
          <xdr:nvSpPr>
            <xdr:cNvPr id="106499" name="Object 3" hidden="1">
              <a:extLst>
                <a:ext uri="{63B3BB69-23CF-44E3-9099-C40C66FF867C}">
                  <a14:compatExt spid="_x0000_s106499"/>
                </a:ext>
              </a:extLst>
            </xdr:cNvPr>
            <xdr:cNvSpPr/>
          </xdr:nvSpPr>
          <xdr:spPr>
            <a:xfrm>
              <a:off x="7458075" y="24972645"/>
              <a:ext cx="118110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1285875</xdr:colOff>
          <xdr:row>57</xdr:row>
          <xdr:rowOff>9525</xdr:rowOff>
        </xdr:from>
        <xdr:to>
          <xdr:col>3</xdr:col>
          <xdr:colOff>2590800</xdr:colOff>
          <xdr:row>57</xdr:row>
          <xdr:rowOff>400050</xdr:rowOff>
        </xdr:to>
        <xdr:sp>
          <xdr:nvSpPr>
            <xdr:cNvPr id="106500" name="Object 4" hidden="1">
              <a:extLst>
                <a:ext uri="{63B3BB69-23CF-44E3-9099-C40C66FF867C}">
                  <a14:compatExt spid="_x0000_s106500"/>
                </a:ext>
              </a:extLst>
            </xdr:cNvPr>
            <xdr:cNvSpPr/>
          </xdr:nvSpPr>
          <xdr:spPr>
            <a:xfrm>
              <a:off x="7400925" y="25418415"/>
              <a:ext cx="130492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1238250</xdr:colOff>
          <xdr:row>58</xdr:row>
          <xdr:rowOff>19050</xdr:rowOff>
        </xdr:from>
        <xdr:to>
          <xdr:col>3</xdr:col>
          <xdr:colOff>2600325</xdr:colOff>
          <xdr:row>58</xdr:row>
          <xdr:rowOff>409575</xdr:rowOff>
        </xdr:to>
        <xdr:sp>
          <xdr:nvSpPr>
            <xdr:cNvPr id="106501" name="Object 5" hidden="1">
              <a:extLst>
                <a:ext uri="{63B3BB69-23CF-44E3-9099-C40C66FF867C}">
                  <a14:compatExt spid="_x0000_s106501"/>
                </a:ext>
              </a:extLst>
            </xdr:cNvPr>
            <xdr:cNvSpPr/>
          </xdr:nvSpPr>
          <xdr:spPr>
            <a:xfrm>
              <a:off x="7353300" y="25873710"/>
              <a:ext cx="136207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59</xdr:row>
          <xdr:rowOff>28575</xdr:rowOff>
        </xdr:from>
        <xdr:to>
          <xdr:col>3</xdr:col>
          <xdr:colOff>2428875</xdr:colOff>
          <xdr:row>59</xdr:row>
          <xdr:rowOff>428625</xdr:rowOff>
        </xdr:to>
        <xdr:sp>
          <xdr:nvSpPr>
            <xdr:cNvPr id="106502" name="Object 6" hidden="1">
              <a:extLst>
                <a:ext uri="{63B3BB69-23CF-44E3-9099-C40C66FF867C}">
                  <a14:compatExt spid="_x0000_s106502"/>
                </a:ext>
              </a:extLst>
            </xdr:cNvPr>
            <xdr:cNvSpPr/>
          </xdr:nvSpPr>
          <xdr:spPr>
            <a:xfrm>
              <a:off x="7381875" y="26329005"/>
              <a:ext cx="1162050"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1133475</xdr:colOff>
          <xdr:row>81</xdr:row>
          <xdr:rowOff>28575</xdr:rowOff>
        </xdr:from>
        <xdr:to>
          <xdr:col>3</xdr:col>
          <xdr:colOff>2486025</xdr:colOff>
          <xdr:row>81</xdr:row>
          <xdr:rowOff>733425</xdr:rowOff>
        </xdr:to>
        <xdr:sp>
          <xdr:nvSpPr>
            <xdr:cNvPr id="106503" name="Object 7" hidden="1">
              <a:extLst>
                <a:ext uri="{63B3BB69-23CF-44E3-9099-C40C66FF867C}">
                  <a14:compatExt spid="_x0000_s106503"/>
                </a:ext>
              </a:extLst>
            </xdr:cNvPr>
            <xdr:cNvSpPr/>
          </xdr:nvSpPr>
          <xdr:spPr>
            <a:xfrm>
              <a:off x="7248525" y="36261675"/>
              <a:ext cx="1352550" cy="704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752475</xdr:colOff>
          <xdr:row>131</xdr:row>
          <xdr:rowOff>76200</xdr:rowOff>
        </xdr:from>
        <xdr:to>
          <xdr:col>3</xdr:col>
          <xdr:colOff>2828925</xdr:colOff>
          <xdr:row>131</xdr:row>
          <xdr:rowOff>371475</xdr:rowOff>
        </xdr:to>
        <xdr:sp>
          <xdr:nvSpPr>
            <xdr:cNvPr id="106504" name="Object 8" hidden="1">
              <a:extLst>
                <a:ext uri="{63B3BB69-23CF-44E3-9099-C40C66FF867C}">
                  <a14:compatExt spid="_x0000_s106504"/>
                </a:ext>
              </a:extLst>
            </xdr:cNvPr>
            <xdr:cNvSpPr/>
          </xdr:nvSpPr>
          <xdr:spPr>
            <a:xfrm>
              <a:off x="6867525" y="65644395"/>
              <a:ext cx="2076450" cy="295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132</xdr:row>
          <xdr:rowOff>85725</xdr:rowOff>
        </xdr:from>
        <xdr:to>
          <xdr:col>3</xdr:col>
          <xdr:colOff>2676525</xdr:colOff>
          <xdr:row>132</xdr:row>
          <xdr:rowOff>895350</xdr:rowOff>
        </xdr:to>
        <xdr:sp>
          <xdr:nvSpPr>
            <xdr:cNvPr id="106505" name="Object 9" hidden="1">
              <a:extLst>
                <a:ext uri="{63B3BB69-23CF-44E3-9099-C40C66FF867C}">
                  <a14:compatExt spid="_x0000_s106505"/>
                </a:ext>
              </a:extLst>
            </xdr:cNvPr>
            <xdr:cNvSpPr/>
          </xdr:nvSpPr>
          <xdr:spPr>
            <a:xfrm>
              <a:off x="7038975" y="66099690"/>
              <a:ext cx="1752600" cy="809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133</xdr:row>
          <xdr:rowOff>66675</xdr:rowOff>
        </xdr:from>
        <xdr:to>
          <xdr:col>3</xdr:col>
          <xdr:colOff>2686050</xdr:colOff>
          <xdr:row>133</xdr:row>
          <xdr:rowOff>876300</xdr:rowOff>
        </xdr:to>
        <xdr:sp>
          <xdr:nvSpPr>
            <xdr:cNvPr id="106506" name="Object 10" hidden="1">
              <a:extLst>
                <a:ext uri="{63B3BB69-23CF-44E3-9099-C40C66FF867C}">
                  <a14:compatExt spid="_x0000_s106506"/>
                </a:ext>
              </a:extLst>
            </xdr:cNvPr>
            <xdr:cNvSpPr/>
          </xdr:nvSpPr>
          <xdr:spPr>
            <a:xfrm>
              <a:off x="7038975" y="67059810"/>
              <a:ext cx="1762125" cy="809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1133475</xdr:colOff>
          <xdr:row>134</xdr:row>
          <xdr:rowOff>47625</xdr:rowOff>
        </xdr:from>
        <xdr:to>
          <xdr:col>3</xdr:col>
          <xdr:colOff>2428875</xdr:colOff>
          <xdr:row>134</xdr:row>
          <xdr:rowOff>733425</xdr:rowOff>
        </xdr:to>
        <xdr:sp>
          <xdr:nvSpPr>
            <xdr:cNvPr id="106507" name="Object 11" hidden="1">
              <a:extLst>
                <a:ext uri="{63B3BB69-23CF-44E3-9099-C40C66FF867C}">
                  <a14:compatExt spid="_x0000_s106507"/>
                </a:ext>
              </a:extLst>
            </xdr:cNvPr>
            <xdr:cNvSpPr/>
          </xdr:nvSpPr>
          <xdr:spPr>
            <a:xfrm>
              <a:off x="7248525" y="67955160"/>
              <a:ext cx="1295400" cy="685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1104900</xdr:colOff>
          <xdr:row>135</xdr:row>
          <xdr:rowOff>47625</xdr:rowOff>
        </xdr:from>
        <xdr:to>
          <xdr:col>3</xdr:col>
          <xdr:colOff>2457450</xdr:colOff>
          <xdr:row>135</xdr:row>
          <xdr:rowOff>742950</xdr:rowOff>
        </xdr:to>
        <xdr:sp>
          <xdr:nvSpPr>
            <xdr:cNvPr id="106508" name="Object 12" hidden="1">
              <a:extLst>
                <a:ext uri="{63B3BB69-23CF-44E3-9099-C40C66FF867C}">
                  <a14:compatExt spid="_x0000_s106508"/>
                </a:ext>
              </a:extLst>
            </xdr:cNvPr>
            <xdr:cNvSpPr/>
          </xdr:nvSpPr>
          <xdr:spPr>
            <a:xfrm>
              <a:off x="7219950" y="68717160"/>
              <a:ext cx="1352550"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723900</xdr:colOff>
          <xdr:row>138</xdr:row>
          <xdr:rowOff>38100</xdr:rowOff>
        </xdr:from>
        <xdr:to>
          <xdr:col>3</xdr:col>
          <xdr:colOff>2828925</xdr:colOff>
          <xdr:row>138</xdr:row>
          <xdr:rowOff>657225</xdr:rowOff>
        </xdr:to>
        <xdr:sp>
          <xdr:nvSpPr>
            <xdr:cNvPr id="106509" name="Object 13" hidden="1">
              <a:extLst>
                <a:ext uri="{63B3BB69-23CF-44E3-9099-C40C66FF867C}">
                  <a14:compatExt spid="_x0000_s106509"/>
                </a:ext>
              </a:extLst>
            </xdr:cNvPr>
            <xdr:cNvSpPr/>
          </xdr:nvSpPr>
          <xdr:spPr>
            <a:xfrm>
              <a:off x="6838950" y="70639305"/>
              <a:ext cx="2105025"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752475</xdr:colOff>
          <xdr:row>139</xdr:row>
          <xdr:rowOff>85725</xdr:rowOff>
        </xdr:from>
        <xdr:to>
          <xdr:col>3</xdr:col>
          <xdr:colOff>2695575</xdr:colOff>
          <xdr:row>139</xdr:row>
          <xdr:rowOff>590550</xdr:rowOff>
        </xdr:to>
        <xdr:sp>
          <xdr:nvSpPr>
            <xdr:cNvPr id="106510" name="Object 14" hidden="1">
              <a:extLst>
                <a:ext uri="{63B3BB69-23CF-44E3-9099-C40C66FF867C}">
                  <a14:compatExt spid="_x0000_s106510"/>
                </a:ext>
              </a:extLst>
            </xdr:cNvPr>
            <xdr:cNvSpPr/>
          </xdr:nvSpPr>
          <xdr:spPr>
            <a:xfrm>
              <a:off x="6867525" y="71372730"/>
              <a:ext cx="1943100"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141</xdr:row>
          <xdr:rowOff>85725</xdr:rowOff>
        </xdr:from>
        <xdr:to>
          <xdr:col>3</xdr:col>
          <xdr:colOff>2124075</xdr:colOff>
          <xdr:row>141</xdr:row>
          <xdr:rowOff>742950</xdr:rowOff>
        </xdr:to>
        <xdr:sp>
          <xdr:nvSpPr>
            <xdr:cNvPr id="106511" name="Object 15" hidden="1">
              <a:extLst>
                <a:ext uri="{63B3BB69-23CF-44E3-9099-C40C66FF867C}">
                  <a14:compatExt spid="_x0000_s106511"/>
                </a:ext>
              </a:extLst>
            </xdr:cNvPr>
            <xdr:cNvSpPr/>
          </xdr:nvSpPr>
          <xdr:spPr>
            <a:xfrm>
              <a:off x="7486650" y="72668765"/>
              <a:ext cx="752475"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1152525</xdr:colOff>
          <xdr:row>140</xdr:row>
          <xdr:rowOff>142875</xdr:rowOff>
        </xdr:from>
        <xdr:to>
          <xdr:col>3</xdr:col>
          <xdr:colOff>2314575</xdr:colOff>
          <xdr:row>140</xdr:row>
          <xdr:rowOff>571500</xdr:rowOff>
        </xdr:to>
        <xdr:sp>
          <xdr:nvSpPr>
            <xdr:cNvPr id="106512" name="Object 16" hidden="1">
              <a:extLst>
                <a:ext uri="{63B3BB69-23CF-44E3-9099-C40C66FF867C}">
                  <a14:compatExt spid="_x0000_s106512"/>
                </a:ext>
              </a:extLst>
            </xdr:cNvPr>
            <xdr:cNvSpPr/>
          </xdr:nvSpPr>
          <xdr:spPr>
            <a:xfrm>
              <a:off x="7267575" y="72089645"/>
              <a:ext cx="116205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1152525</xdr:colOff>
          <xdr:row>142</xdr:row>
          <xdr:rowOff>66675</xdr:rowOff>
        </xdr:from>
        <xdr:to>
          <xdr:col>3</xdr:col>
          <xdr:colOff>2371725</xdr:colOff>
          <xdr:row>142</xdr:row>
          <xdr:rowOff>533400</xdr:rowOff>
        </xdr:to>
        <xdr:sp>
          <xdr:nvSpPr>
            <xdr:cNvPr id="106513" name="Object 17" hidden="1">
              <a:extLst>
                <a:ext uri="{63B3BB69-23CF-44E3-9099-C40C66FF867C}">
                  <a14:compatExt spid="_x0000_s106513"/>
                </a:ext>
              </a:extLst>
            </xdr:cNvPr>
            <xdr:cNvSpPr/>
          </xdr:nvSpPr>
          <xdr:spPr>
            <a:xfrm>
              <a:off x="7267575" y="73438385"/>
              <a:ext cx="1219200" cy="466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771525</xdr:colOff>
          <xdr:row>143</xdr:row>
          <xdr:rowOff>66675</xdr:rowOff>
        </xdr:from>
        <xdr:to>
          <xdr:col>3</xdr:col>
          <xdr:colOff>2714625</xdr:colOff>
          <xdr:row>143</xdr:row>
          <xdr:rowOff>571500</xdr:rowOff>
        </xdr:to>
        <xdr:sp>
          <xdr:nvSpPr>
            <xdr:cNvPr id="106514" name="Object 18" hidden="1">
              <a:extLst>
                <a:ext uri="{63B3BB69-23CF-44E3-9099-C40C66FF867C}">
                  <a14:compatExt spid="_x0000_s106514"/>
                </a:ext>
              </a:extLst>
            </xdr:cNvPr>
            <xdr:cNvSpPr/>
          </xdr:nvSpPr>
          <xdr:spPr>
            <a:xfrm>
              <a:off x="6886575" y="74036555"/>
              <a:ext cx="1943100"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1133475</xdr:colOff>
          <xdr:row>144</xdr:row>
          <xdr:rowOff>76200</xdr:rowOff>
        </xdr:from>
        <xdr:to>
          <xdr:col>3</xdr:col>
          <xdr:colOff>2314575</xdr:colOff>
          <xdr:row>144</xdr:row>
          <xdr:rowOff>504825</xdr:rowOff>
        </xdr:to>
        <xdr:sp>
          <xdr:nvSpPr>
            <xdr:cNvPr id="106515" name="Object 19" hidden="1">
              <a:extLst>
                <a:ext uri="{63B3BB69-23CF-44E3-9099-C40C66FF867C}">
                  <a14:compatExt spid="_x0000_s106515"/>
                </a:ext>
              </a:extLst>
            </xdr:cNvPr>
            <xdr:cNvSpPr/>
          </xdr:nvSpPr>
          <xdr:spPr>
            <a:xfrm>
              <a:off x="7248525" y="74682350"/>
              <a:ext cx="11811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981075</xdr:colOff>
          <xdr:row>82</xdr:row>
          <xdr:rowOff>57150</xdr:rowOff>
        </xdr:from>
        <xdr:to>
          <xdr:col>3</xdr:col>
          <xdr:colOff>2724150</xdr:colOff>
          <xdr:row>82</xdr:row>
          <xdr:rowOff>771525</xdr:rowOff>
        </xdr:to>
        <xdr:sp>
          <xdr:nvSpPr>
            <xdr:cNvPr id="106516" name="Object 20" hidden="1">
              <a:extLst>
                <a:ext uri="{63B3BB69-23CF-44E3-9099-C40C66FF867C}">
                  <a14:compatExt spid="_x0000_s106516"/>
                </a:ext>
              </a:extLst>
            </xdr:cNvPr>
            <xdr:cNvSpPr/>
          </xdr:nvSpPr>
          <xdr:spPr>
            <a:xfrm>
              <a:off x="7096125" y="37052250"/>
              <a:ext cx="1743075" cy="714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1200150</xdr:colOff>
          <xdr:row>83</xdr:row>
          <xdr:rowOff>66675</xdr:rowOff>
        </xdr:from>
        <xdr:to>
          <xdr:col>3</xdr:col>
          <xdr:colOff>2533650</xdr:colOff>
          <xdr:row>83</xdr:row>
          <xdr:rowOff>552450</xdr:rowOff>
        </xdr:to>
        <xdr:sp>
          <xdr:nvSpPr>
            <xdr:cNvPr id="106517" name="Object 21" hidden="1">
              <a:extLst>
                <a:ext uri="{63B3BB69-23CF-44E3-9099-C40C66FF867C}">
                  <a14:compatExt spid="_x0000_s106517"/>
                </a:ext>
              </a:extLst>
            </xdr:cNvPr>
            <xdr:cNvSpPr/>
          </xdr:nvSpPr>
          <xdr:spPr>
            <a:xfrm>
              <a:off x="7315200" y="37861875"/>
              <a:ext cx="133350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1114425</xdr:colOff>
          <xdr:row>196</xdr:row>
          <xdr:rowOff>76200</xdr:rowOff>
        </xdr:from>
        <xdr:to>
          <xdr:col>3</xdr:col>
          <xdr:colOff>2419350</xdr:colOff>
          <xdr:row>196</xdr:row>
          <xdr:rowOff>371475</xdr:rowOff>
        </xdr:to>
        <xdr:sp>
          <xdr:nvSpPr>
            <xdr:cNvPr id="106518" name="Object 30722" hidden="1">
              <a:extLst>
                <a:ext uri="{63B3BB69-23CF-44E3-9099-C40C66FF867C}">
                  <a14:compatExt spid="_x0000_s106518"/>
                </a:ext>
              </a:extLst>
            </xdr:cNvPr>
            <xdr:cNvSpPr/>
          </xdr:nvSpPr>
          <xdr:spPr>
            <a:xfrm>
              <a:off x="7229475" y="99025710"/>
              <a:ext cx="1304925" cy="295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695325</xdr:colOff>
          <xdr:row>197</xdr:row>
          <xdr:rowOff>85725</xdr:rowOff>
        </xdr:from>
        <xdr:to>
          <xdr:col>3</xdr:col>
          <xdr:colOff>3038475</xdr:colOff>
          <xdr:row>197</xdr:row>
          <xdr:rowOff>390525</xdr:rowOff>
        </xdr:to>
        <xdr:sp>
          <xdr:nvSpPr>
            <xdr:cNvPr id="106519" name="Object 30723" hidden="1">
              <a:extLst>
                <a:ext uri="{63B3BB69-23CF-44E3-9099-C40C66FF867C}">
                  <a14:compatExt spid="_x0000_s106519"/>
                </a:ext>
              </a:extLst>
            </xdr:cNvPr>
            <xdr:cNvSpPr/>
          </xdr:nvSpPr>
          <xdr:spPr>
            <a:xfrm>
              <a:off x="6810375" y="99481005"/>
              <a:ext cx="2343150" cy="304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1714500</xdr:colOff>
          <xdr:row>87</xdr:row>
          <xdr:rowOff>38100</xdr:rowOff>
        </xdr:from>
        <xdr:to>
          <xdr:col>3</xdr:col>
          <xdr:colOff>1971675</xdr:colOff>
          <xdr:row>87</xdr:row>
          <xdr:rowOff>428625</xdr:rowOff>
        </xdr:to>
        <xdr:sp>
          <xdr:nvSpPr>
            <xdr:cNvPr id="106520" name="Object 24" hidden="1">
              <a:extLst>
                <a:ext uri="{63B3BB69-23CF-44E3-9099-C40C66FF867C}">
                  <a14:compatExt spid="_x0000_s106520"/>
                </a:ext>
              </a:extLst>
            </xdr:cNvPr>
            <xdr:cNvSpPr/>
          </xdr:nvSpPr>
          <xdr:spPr>
            <a:xfrm>
              <a:off x="7829550" y="39915465"/>
              <a:ext cx="25717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1571625</xdr:colOff>
          <xdr:row>85</xdr:row>
          <xdr:rowOff>38100</xdr:rowOff>
        </xdr:from>
        <xdr:to>
          <xdr:col>3</xdr:col>
          <xdr:colOff>2133600</xdr:colOff>
          <xdr:row>85</xdr:row>
          <xdr:rowOff>457200</xdr:rowOff>
        </xdr:to>
        <xdr:sp>
          <xdr:nvSpPr>
            <xdr:cNvPr id="106521" name="Object 25" hidden="1">
              <a:extLst>
                <a:ext uri="{63B3BB69-23CF-44E3-9099-C40C66FF867C}">
                  <a14:compatExt spid="_x0000_s106521"/>
                </a:ext>
              </a:extLst>
            </xdr:cNvPr>
            <xdr:cNvSpPr/>
          </xdr:nvSpPr>
          <xdr:spPr>
            <a:xfrm>
              <a:off x="7686675" y="38886130"/>
              <a:ext cx="56197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86</xdr:row>
          <xdr:rowOff>28575</xdr:rowOff>
        </xdr:from>
        <xdr:to>
          <xdr:col>3</xdr:col>
          <xdr:colOff>2219325</xdr:colOff>
          <xdr:row>86</xdr:row>
          <xdr:rowOff>504825</xdr:rowOff>
        </xdr:to>
        <xdr:sp>
          <xdr:nvSpPr>
            <xdr:cNvPr id="106522" name="Object 26" hidden="1">
              <a:extLst>
                <a:ext uri="{63B3BB69-23CF-44E3-9099-C40C66FF867C}">
                  <a14:compatExt spid="_x0000_s106522"/>
                </a:ext>
              </a:extLst>
            </xdr:cNvPr>
            <xdr:cNvSpPr/>
          </xdr:nvSpPr>
          <xdr:spPr>
            <a:xfrm>
              <a:off x="7486650" y="39398575"/>
              <a:ext cx="847725"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1571625</xdr:colOff>
          <xdr:row>84</xdr:row>
          <xdr:rowOff>28575</xdr:rowOff>
        </xdr:from>
        <xdr:to>
          <xdr:col>3</xdr:col>
          <xdr:colOff>2076450</xdr:colOff>
          <xdr:row>84</xdr:row>
          <xdr:rowOff>447675</xdr:rowOff>
        </xdr:to>
        <xdr:sp>
          <xdr:nvSpPr>
            <xdr:cNvPr id="106523" name="Object 27" hidden="1">
              <a:extLst>
                <a:ext uri="{63B3BB69-23CF-44E3-9099-C40C66FF867C}">
                  <a14:compatExt spid="_x0000_s106523"/>
                </a:ext>
              </a:extLst>
            </xdr:cNvPr>
            <xdr:cNvSpPr/>
          </xdr:nvSpPr>
          <xdr:spPr>
            <a:xfrm>
              <a:off x="7686675" y="38407340"/>
              <a:ext cx="50482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1381125</xdr:colOff>
          <xdr:row>126</xdr:row>
          <xdr:rowOff>47625</xdr:rowOff>
        </xdr:from>
        <xdr:to>
          <xdr:col>3</xdr:col>
          <xdr:colOff>2114550</xdr:colOff>
          <xdr:row>126</xdr:row>
          <xdr:rowOff>638175</xdr:rowOff>
        </xdr:to>
        <xdr:sp>
          <xdr:nvSpPr>
            <xdr:cNvPr id="106524" name="Object 28" hidden="1">
              <a:extLst>
                <a:ext uri="{63B3BB69-23CF-44E3-9099-C40C66FF867C}">
                  <a14:compatExt spid="_x0000_s106524"/>
                </a:ext>
              </a:extLst>
            </xdr:cNvPr>
            <xdr:cNvSpPr/>
          </xdr:nvSpPr>
          <xdr:spPr>
            <a:xfrm>
              <a:off x="7496175" y="62323345"/>
              <a:ext cx="733425" cy="590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127</xdr:row>
          <xdr:rowOff>104775</xdr:rowOff>
        </xdr:from>
        <xdr:to>
          <xdr:col>3</xdr:col>
          <xdr:colOff>2143125</xdr:colOff>
          <xdr:row>127</xdr:row>
          <xdr:rowOff>638175</xdr:rowOff>
        </xdr:to>
        <xdr:sp>
          <xdr:nvSpPr>
            <xdr:cNvPr id="106525" name="Object 29" hidden="1">
              <a:extLst>
                <a:ext uri="{63B3BB69-23CF-44E3-9099-C40C66FF867C}">
                  <a14:compatExt spid="_x0000_s106525"/>
                </a:ext>
              </a:extLst>
            </xdr:cNvPr>
            <xdr:cNvSpPr/>
          </xdr:nvSpPr>
          <xdr:spPr>
            <a:xfrm>
              <a:off x="7486650" y="63040260"/>
              <a:ext cx="771525" cy="533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1247775</xdr:colOff>
          <xdr:row>128</xdr:row>
          <xdr:rowOff>66675</xdr:rowOff>
        </xdr:from>
        <xdr:to>
          <xdr:col>3</xdr:col>
          <xdr:colOff>2247900</xdr:colOff>
          <xdr:row>128</xdr:row>
          <xdr:rowOff>676275</xdr:rowOff>
        </xdr:to>
        <xdr:sp>
          <xdr:nvSpPr>
            <xdr:cNvPr id="106526" name="Object 30" hidden="1">
              <a:extLst>
                <a:ext uri="{63B3BB69-23CF-44E3-9099-C40C66FF867C}">
                  <a14:compatExt spid="_x0000_s106526"/>
                </a:ext>
              </a:extLst>
            </xdr:cNvPr>
            <xdr:cNvSpPr/>
          </xdr:nvSpPr>
          <xdr:spPr>
            <a:xfrm>
              <a:off x="7362825" y="63726060"/>
              <a:ext cx="1000125" cy="609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1228725</xdr:colOff>
          <xdr:row>129</xdr:row>
          <xdr:rowOff>76200</xdr:rowOff>
        </xdr:from>
        <xdr:to>
          <xdr:col>3</xdr:col>
          <xdr:colOff>2228850</xdr:colOff>
          <xdr:row>129</xdr:row>
          <xdr:rowOff>581025</xdr:rowOff>
        </xdr:to>
        <xdr:sp>
          <xdr:nvSpPr>
            <xdr:cNvPr id="106527" name="Object 31" hidden="1">
              <a:extLst>
                <a:ext uri="{63B3BB69-23CF-44E3-9099-C40C66FF867C}">
                  <a14:compatExt spid="_x0000_s106527"/>
                </a:ext>
              </a:extLst>
            </xdr:cNvPr>
            <xdr:cNvSpPr/>
          </xdr:nvSpPr>
          <xdr:spPr>
            <a:xfrm>
              <a:off x="7343775" y="64448055"/>
              <a:ext cx="1000125"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1323975</xdr:colOff>
          <xdr:row>130</xdr:row>
          <xdr:rowOff>142875</xdr:rowOff>
        </xdr:from>
        <xdr:to>
          <xdr:col>3</xdr:col>
          <xdr:colOff>2085975</xdr:colOff>
          <xdr:row>130</xdr:row>
          <xdr:rowOff>466725</xdr:rowOff>
        </xdr:to>
        <xdr:sp>
          <xdr:nvSpPr>
            <xdr:cNvPr id="106528" name="Object 32" hidden="1">
              <a:extLst>
                <a:ext uri="{63B3BB69-23CF-44E3-9099-C40C66FF867C}">
                  <a14:compatExt spid="_x0000_s106528"/>
                </a:ext>
              </a:extLst>
            </xdr:cNvPr>
            <xdr:cNvSpPr/>
          </xdr:nvSpPr>
          <xdr:spPr>
            <a:xfrm>
              <a:off x="7439025" y="65112900"/>
              <a:ext cx="762000"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151</xdr:row>
          <xdr:rowOff>38100</xdr:rowOff>
        </xdr:from>
        <xdr:to>
          <xdr:col>3</xdr:col>
          <xdr:colOff>2419350</xdr:colOff>
          <xdr:row>151</xdr:row>
          <xdr:rowOff>590550</xdr:rowOff>
        </xdr:to>
        <xdr:sp>
          <xdr:nvSpPr>
            <xdr:cNvPr id="106529" name="Object 33" hidden="1">
              <a:extLst>
                <a:ext uri="{63B3BB69-23CF-44E3-9099-C40C66FF867C}">
                  <a14:compatExt spid="_x0000_s106529"/>
                </a:ext>
              </a:extLst>
            </xdr:cNvPr>
            <xdr:cNvSpPr/>
          </xdr:nvSpPr>
          <xdr:spPr>
            <a:xfrm>
              <a:off x="7410450" y="78713965"/>
              <a:ext cx="1123950" cy="552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1457325</xdr:colOff>
          <xdr:row>145</xdr:row>
          <xdr:rowOff>28575</xdr:rowOff>
        </xdr:from>
        <xdr:to>
          <xdr:col>3</xdr:col>
          <xdr:colOff>2028825</xdr:colOff>
          <xdr:row>145</xdr:row>
          <xdr:rowOff>428625</xdr:rowOff>
        </xdr:to>
        <xdr:sp>
          <xdr:nvSpPr>
            <xdr:cNvPr id="106530" name="Object 34" hidden="1">
              <a:extLst>
                <a:ext uri="{63B3BB69-23CF-44E3-9099-C40C66FF867C}">
                  <a14:compatExt spid="_x0000_s106530"/>
                </a:ext>
              </a:extLst>
            </xdr:cNvPr>
            <xdr:cNvSpPr/>
          </xdr:nvSpPr>
          <xdr:spPr>
            <a:xfrm>
              <a:off x="7572375" y="75218290"/>
              <a:ext cx="571500"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952500</xdr:colOff>
          <xdr:row>150</xdr:row>
          <xdr:rowOff>38100</xdr:rowOff>
        </xdr:from>
        <xdr:to>
          <xdr:col>3</xdr:col>
          <xdr:colOff>2714625</xdr:colOff>
          <xdr:row>150</xdr:row>
          <xdr:rowOff>1171575</xdr:rowOff>
        </xdr:to>
        <xdr:sp>
          <xdr:nvSpPr>
            <xdr:cNvPr id="106531" name="Object 35" hidden="1">
              <a:extLst>
                <a:ext uri="{63B3BB69-23CF-44E3-9099-C40C66FF867C}">
                  <a14:compatExt spid="_x0000_s106531"/>
                </a:ext>
              </a:extLst>
            </xdr:cNvPr>
            <xdr:cNvSpPr/>
          </xdr:nvSpPr>
          <xdr:spPr>
            <a:xfrm>
              <a:off x="7067550" y="77456665"/>
              <a:ext cx="1762125" cy="11334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89</xdr:row>
          <xdr:rowOff>85725</xdr:rowOff>
        </xdr:from>
        <xdr:to>
          <xdr:col>3</xdr:col>
          <xdr:colOff>2352675</xdr:colOff>
          <xdr:row>89</xdr:row>
          <xdr:rowOff>714375</xdr:rowOff>
        </xdr:to>
        <xdr:sp>
          <xdr:nvSpPr>
            <xdr:cNvPr id="106532" name="Object 36" hidden="1">
              <a:extLst>
                <a:ext uri="{63B3BB69-23CF-44E3-9099-C40C66FF867C}">
                  <a14:compatExt spid="_x0000_s106532"/>
                </a:ext>
              </a:extLst>
            </xdr:cNvPr>
            <xdr:cNvSpPr/>
          </xdr:nvSpPr>
          <xdr:spPr>
            <a:xfrm>
              <a:off x="6248400" y="40854630"/>
              <a:ext cx="2219325" cy="628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xdr:colOff>
          <xdr:row>90</xdr:row>
          <xdr:rowOff>76200</xdr:rowOff>
        </xdr:from>
        <xdr:to>
          <xdr:col>3</xdr:col>
          <xdr:colOff>2600325</xdr:colOff>
          <xdr:row>90</xdr:row>
          <xdr:rowOff>695325</xdr:rowOff>
        </xdr:to>
        <xdr:sp>
          <xdr:nvSpPr>
            <xdr:cNvPr id="106533" name="Object 37" hidden="1">
              <a:extLst>
                <a:ext uri="{63B3BB69-23CF-44E3-9099-C40C66FF867C}">
                  <a14:compatExt spid="_x0000_s106533"/>
                </a:ext>
              </a:extLst>
            </xdr:cNvPr>
            <xdr:cNvSpPr/>
          </xdr:nvSpPr>
          <xdr:spPr>
            <a:xfrm>
              <a:off x="6257925" y="41595675"/>
              <a:ext cx="2457450"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xdr:colOff>
          <xdr:row>91</xdr:row>
          <xdr:rowOff>85725</xdr:rowOff>
        </xdr:from>
        <xdr:to>
          <xdr:col>3</xdr:col>
          <xdr:colOff>2724150</xdr:colOff>
          <xdr:row>91</xdr:row>
          <xdr:rowOff>752475</xdr:rowOff>
        </xdr:to>
        <xdr:sp>
          <xdr:nvSpPr>
            <xdr:cNvPr id="106534" name="Object 38" hidden="1">
              <a:extLst>
                <a:ext uri="{63B3BB69-23CF-44E3-9099-C40C66FF867C}">
                  <a14:compatExt spid="_x0000_s106534"/>
                </a:ext>
              </a:extLst>
            </xdr:cNvPr>
            <xdr:cNvSpPr/>
          </xdr:nvSpPr>
          <xdr:spPr>
            <a:xfrm>
              <a:off x="6257925" y="42329100"/>
              <a:ext cx="2581275" cy="6667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92</xdr:row>
          <xdr:rowOff>57150</xdr:rowOff>
        </xdr:from>
        <xdr:to>
          <xdr:col>3</xdr:col>
          <xdr:colOff>2943225</xdr:colOff>
          <xdr:row>92</xdr:row>
          <xdr:rowOff>714375</xdr:rowOff>
        </xdr:to>
        <xdr:sp>
          <xdr:nvSpPr>
            <xdr:cNvPr id="106535" name="Object 39" hidden="1">
              <a:extLst>
                <a:ext uri="{63B3BB69-23CF-44E3-9099-C40C66FF867C}">
                  <a14:compatExt spid="_x0000_s106535"/>
                </a:ext>
              </a:extLst>
            </xdr:cNvPr>
            <xdr:cNvSpPr/>
          </xdr:nvSpPr>
          <xdr:spPr>
            <a:xfrm>
              <a:off x="6267450" y="43089195"/>
              <a:ext cx="2790825"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xdr:colOff>
          <xdr:row>96</xdr:row>
          <xdr:rowOff>85725</xdr:rowOff>
        </xdr:from>
        <xdr:to>
          <xdr:col>3</xdr:col>
          <xdr:colOff>1571625</xdr:colOff>
          <xdr:row>96</xdr:row>
          <xdr:rowOff>638175</xdr:rowOff>
        </xdr:to>
        <xdr:sp>
          <xdr:nvSpPr>
            <xdr:cNvPr id="106536" name="Object 40" hidden="1">
              <a:extLst>
                <a:ext uri="{63B3BB69-23CF-44E3-9099-C40C66FF867C}">
                  <a14:compatExt spid="_x0000_s106536"/>
                </a:ext>
              </a:extLst>
            </xdr:cNvPr>
            <xdr:cNvSpPr/>
          </xdr:nvSpPr>
          <xdr:spPr>
            <a:xfrm>
              <a:off x="6257925" y="45545375"/>
              <a:ext cx="1428750" cy="552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97</xdr:row>
          <xdr:rowOff>66675</xdr:rowOff>
        </xdr:from>
        <xdr:to>
          <xdr:col>3</xdr:col>
          <xdr:colOff>1876425</xdr:colOff>
          <xdr:row>97</xdr:row>
          <xdr:rowOff>657225</xdr:rowOff>
        </xdr:to>
        <xdr:sp>
          <xdr:nvSpPr>
            <xdr:cNvPr id="106537" name="Object 41" hidden="1">
              <a:extLst>
                <a:ext uri="{63B3BB69-23CF-44E3-9099-C40C66FF867C}">
                  <a14:compatExt spid="_x0000_s106537"/>
                </a:ext>
              </a:extLst>
            </xdr:cNvPr>
            <xdr:cNvSpPr/>
          </xdr:nvSpPr>
          <xdr:spPr>
            <a:xfrm>
              <a:off x="6238875" y="46238795"/>
              <a:ext cx="1752600" cy="590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98</xdr:row>
          <xdr:rowOff>95250</xdr:rowOff>
        </xdr:from>
        <xdr:to>
          <xdr:col>3</xdr:col>
          <xdr:colOff>2295525</xdr:colOff>
          <xdr:row>98</xdr:row>
          <xdr:rowOff>704850</xdr:rowOff>
        </xdr:to>
        <xdr:sp>
          <xdr:nvSpPr>
            <xdr:cNvPr id="106538" name="Object 42" hidden="1">
              <a:extLst>
                <a:ext uri="{63B3BB69-23CF-44E3-9099-C40C66FF867C}">
                  <a14:compatExt spid="_x0000_s106538"/>
                </a:ext>
              </a:extLst>
            </xdr:cNvPr>
            <xdr:cNvSpPr/>
          </xdr:nvSpPr>
          <xdr:spPr>
            <a:xfrm>
              <a:off x="6248400" y="46953170"/>
              <a:ext cx="2162175" cy="609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99</xdr:row>
          <xdr:rowOff>66675</xdr:rowOff>
        </xdr:from>
        <xdr:to>
          <xdr:col>3</xdr:col>
          <xdr:colOff>2809875</xdr:colOff>
          <xdr:row>99</xdr:row>
          <xdr:rowOff>733425</xdr:rowOff>
        </xdr:to>
        <xdr:sp>
          <xdr:nvSpPr>
            <xdr:cNvPr id="106539" name="Object 43" hidden="1">
              <a:extLst>
                <a:ext uri="{63B3BB69-23CF-44E3-9099-C40C66FF867C}">
                  <a14:compatExt spid="_x0000_s106539"/>
                </a:ext>
              </a:extLst>
            </xdr:cNvPr>
            <xdr:cNvSpPr/>
          </xdr:nvSpPr>
          <xdr:spPr>
            <a:xfrm>
              <a:off x="6229350" y="47675165"/>
              <a:ext cx="2695575" cy="6667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200025</xdr:colOff>
          <xdr:row>93</xdr:row>
          <xdr:rowOff>57150</xdr:rowOff>
        </xdr:from>
        <xdr:to>
          <xdr:col>3</xdr:col>
          <xdr:colOff>2486025</xdr:colOff>
          <xdr:row>93</xdr:row>
          <xdr:rowOff>695325</xdr:rowOff>
        </xdr:to>
        <xdr:sp>
          <xdr:nvSpPr>
            <xdr:cNvPr id="106540" name="Object 44" hidden="1">
              <a:extLst>
                <a:ext uri="{63B3BB69-23CF-44E3-9099-C40C66FF867C}">
                  <a14:compatExt spid="_x0000_s106540"/>
                </a:ext>
              </a:extLst>
            </xdr:cNvPr>
            <xdr:cNvSpPr/>
          </xdr:nvSpPr>
          <xdr:spPr>
            <a:xfrm>
              <a:off x="6315075" y="43863260"/>
              <a:ext cx="2286000" cy="638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100</xdr:row>
          <xdr:rowOff>104775</xdr:rowOff>
        </xdr:from>
        <xdr:to>
          <xdr:col>3</xdr:col>
          <xdr:colOff>2571750</xdr:colOff>
          <xdr:row>100</xdr:row>
          <xdr:rowOff>742950</xdr:rowOff>
        </xdr:to>
        <xdr:sp>
          <xdr:nvSpPr>
            <xdr:cNvPr id="106541" name="Object 45" hidden="1">
              <a:extLst>
                <a:ext uri="{63B3BB69-23CF-44E3-9099-C40C66FF867C}">
                  <a14:compatExt spid="_x0000_s106541"/>
                </a:ext>
              </a:extLst>
            </xdr:cNvPr>
            <xdr:cNvSpPr/>
          </xdr:nvSpPr>
          <xdr:spPr>
            <a:xfrm>
              <a:off x="6191250" y="48487330"/>
              <a:ext cx="2495550" cy="638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103</xdr:row>
          <xdr:rowOff>76200</xdr:rowOff>
        </xdr:from>
        <xdr:to>
          <xdr:col>3</xdr:col>
          <xdr:colOff>1590675</xdr:colOff>
          <xdr:row>103</xdr:row>
          <xdr:rowOff>676275</xdr:rowOff>
        </xdr:to>
        <xdr:sp>
          <xdr:nvSpPr>
            <xdr:cNvPr id="106542" name="Object 46" hidden="1">
              <a:extLst>
                <a:ext uri="{63B3BB69-23CF-44E3-9099-C40C66FF867C}">
                  <a14:compatExt spid="_x0000_s106542"/>
                </a:ext>
              </a:extLst>
            </xdr:cNvPr>
            <xdr:cNvSpPr/>
          </xdr:nvSpPr>
          <xdr:spPr>
            <a:xfrm>
              <a:off x="6238875" y="50162460"/>
              <a:ext cx="1466850" cy="600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104</xdr:row>
          <xdr:rowOff>85725</xdr:rowOff>
        </xdr:from>
        <xdr:to>
          <xdr:col>3</xdr:col>
          <xdr:colOff>2752725</xdr:colOff>
          <xdr:row>104</xdr:row>
          <xdr:rowOff>781050</xdr:rowOff>
        </xdr:to>
        <xdr:sp>
          <xdr:nvSpPr>
            <xdr:cNvPr id="106543" name="Object 47" hidden="1">
              <a:extLst>
                <a:ext uri="{63B3BB69-23CF-44E3-9099-C40C66FF867C}">
                  <a14:compatExt spid="_x0000_s106543"/>
                </a:ext>
              </a:extLst>
            </xdr:cNvPr>
            <xdr:cNvSpPr/>
          </xdr:nvSpPr>
          <xdr:spPr>
            <a:xfrm>
              <a:off x="6238875" y="50869850"/>
              <a:ext cx="2628900"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106</xdr:row>
          <xdr:rowOff>104775</xdr:rowOff>
        </xdr:from>
        <xdr:to>
          <xdr:col>3</xdr:col>
          <xdr:colOff>2419350</xdr:colOff>
          <xdr:row>106</xdr:row>
          <xdr:rowOff>733425</xdr:rowOff>
        </xdr:to>
        <xdr:sp>
          <xdr:nvSpPr>
            <xdr:cNvPr id="106544" name="Object 48" hidden="1">
              <a:extLst>
                <a:ext uri="{63B3BB69-23CF-44E3-9099-C40C66FF867C}">
                  <a14:compatExt spid="_x0000_s106544"/>
                </a:ext>
              </a:extLst>
            </xdr:cNvPr>
            <xdr:cNvSpPr/>
          </xdr:nvSpPr>
          <xdr:spPr>
            <a:xfrm>
              <a:off x="6219825" y="52668170"/>
              <a:ext cx="2314575" cy="628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105</xdr:row>
          <xdr:rowOff>95250</xdr:rowOff>
        </xdr:from>
        <xdr:to>
          <xdr:col>3</xdr:col>
          <xdr:colOff>2847975</xdr:colOff>
          <xdr:row>105</xdr:row>
          <xdr:rowOff>819150</xdr:rowOff>
        </xdr:to>
        <xdr:sp>
          <xdr:nvSpPr>
            <xdr:cNvPr id="106545" name="Object 49" hidden="1">
              <a:extLst>
                <a:ext uri="{63B3BB69-23CF-44E3-9099-C40C66FF867C}">
                  <a14:compatExt spid="_x0000_s106545"/>
                </a:ext>
              </a:extLst>
            </xdr:cNvPr>
            <xdr:cNvSpPr/>
          </xdr:nvSpPr>
          <xdr:spPr>
            <a:xfrm>
              <a:off x="6229350" y="51755675"/>
              <a:ext cx="2733675" cy="7239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72</xdr:row>
          <xdr:rowOff>161925</xdr:rowOff>
        </xdr:from>
        <xdr:to>
          <xdr:col>3</xdr:col>
          <xdr:colOff>2105025</xdr:colOff>
          <xdr:row>72</xdr:row>
          <xdr:rowOff>428625</xdr:rowOff>
        </xdr:to>
        <xdr:sp>
          <xdr:nvSpPr>
            <xdr:cNvPr id="106546" name="Object 50" hidden="1">
              <a:extLst>
                <a:ext uri="{63B3BB69-23CF-44E3-9099-C40C66FF867C}">
                  <a14:compatExt spid="_x0000_s106546"/>
                </a:ext>
              </a:extLst>
            </xdr:cNvPr>
            <xdr:cNvSpPr/>
          </xdr:nvSpPr>
          <xdr:spPr>
            <a:xfrm>
              <a:off x="7410450" y="32257365"/>
              <a:ext cx="809625" cy="266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73</xdr:row>
          <xdr:rowOff>9525</xdr:rowOff>
        </xdr:from>
        <xdr:to>
          <xdr:col>3</xdr:col>
          <xdr:colOff>2200275</xdr:colOff>
          <xdr:row>73</xdr:row>
          <xdr:rowOff>495300</xdr:rowOff>
        </xdr:to>
        <xdr:sp>
          <xdr:nvSpPr>
            <xdr:cNvPr id="106547" name="Object 51" hidden="1">
              <a:extLst>
                <a:ext uri="{63B3BB69-23CF-44E3-9099-C40C66FF867C}">
                  <a14:compatExt spid="_x0000_s106547"/>
                </a:ext>
              </a:extLst>
            </xdr:cNvPr>
            <xdr:cNvSpPr/>
          </xdr:nvSpPr>
          <xdr:spPr>
            <a:xfrm>
              <a:off x="7381875" y="32588835"/>
              <a:ext cx="93345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1323975</xdr:colOff>
          <xdr:row>64</xdr:row>
          <xdr:rowOff>38100</xdr:rowOff>
        </xdr:from>
        <xdr:to>
          <xdr:col>3</xdr:col>
          <xdr:colOff>2066925</xdr:colOff>
          <xdr:row>64</xdr:row>
          <xdr:rowOff>428625</xdr:rowOff>
        </xdr:to>
        <xdr:sp>
          <xdr:nvSpPr>
            <xdr:cNvPr id="106548" name="Object 52" hidden="1">
              <a:extLst>
                <a:ext uri="{63B3BB69-23CF-44E3-9099-C40C66FF867C}">
                  <a14:compatExt spid="_x0000_s106548"/>
                </a:ext>
              </a:extLst>
            </xdr:cNvPr>
            <xdr:cNvSpPr/>
          </xdr:nvSpPr>
          <xdr:spPr>
            <a:xfrm>
              <a:off x="7439025" y="28567380"/>
              <a:ext cx="742950" cy="39052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67</xdr:row>
          <xdr:rowOff>9525</xdr:rowOff>
        </xdr:from>
        <xdr:to>
          <xdr:col>3</xdr:col>
          <xdr:colOff>742950</xdr:colOff>
          <xdr:row>67</xdr:row>
          <xdr:rowOff>390525</xdr:rowOff>
        </xdr:to>
        <xdr:sp>
          <xdr:nvSpPr>
            <xdr:cNvPr id="107521" name="Object 1" hidden="1">
              <a:extLst>
                <a:ext uri="{63B3BB69-23CF-44E3-9099-C40C66FF867C}">
                  <a14:compatExt spid="_x0000_s107521"/>
                </a:ext>
              </a:extLst>
            </xdr:cNvPr>
            <xdr:cNvSpPr/>
          </xdr:nvSpPr>
          <xdr:spPr>
            <a:xfrm>
              <a:off x="6115050" y="29876115"/>
              <a:ext cx="74295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58</xdr:row>
          <xdr:rowOff>19050</xdr:rowOff>
        </xdr:from>
        <xdr:to>
          <xdr:col>3</xdr:col>
          <xdr:colOff>1019175</xdr:colOff>
          <xdr:row>58</xdr:row>
          <xdr:rowOff>400050</xdr:rowOff>
        </xdr:to>
        <xdr:sp>
          <xdr:nvSpPr>
            <xdr:cNvPr id="107522" name="Object 2" hidden="1">
              <a:extLst>
                <a:ext uri="{63B3BB69-23CF-44E3-9099-C40C66FF867C}">
                  <a14:compatExt spid="_x0000_s107522"/>
                </a:ext>
              </a:extLst>
            </xdr:cNvPr>
            <xdr:cNvSpPr/>
          </xdr:nvSpPr>
          <xdr:spPr>
            <a:xfrm>
              <a:off x="6115050" y="25873710"/>
              <a:ext cx="1019175"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59</xdr:row>
          <xdr:rowOff>9525</xdr:rowOff>
        </xdr:from>
        <xdr:to>
          <xdr:col>3</xdr:col>
          <xdr:colOff>1181100</xdr:colOff>
          <xdr:row>59</xdr:row>
          <xdr:rowOff>390525</xdr:rowOff>
        </xdr:to>
        <xdr:sp>
          <xdr:nvSpPr>
            <xdr:cNvPr id="107523" name="Object 3" hidden="1">
              <a:extLst>
                <a:ext uri="{63B3BB69-23CF-44E3-9099-C40C66FF867C}">
                  <a14:compatExt spid="_x0000_s107523"/>
                </a:ext>
              </a:extLst>
            </xdr:cNvPr>
            <xdr:cNvSpPr/>
          </xdr:nvSpPr>
          <xdr:spPr>
            <a:xfrm>
              <a:off x="6115050" y="26309955"/>
              <a:ext cx="118110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60</xdr:row>
          <xdr:rowOff>9525</xdr:rowOff>
        </xdr:from>
        <xdr:to>
          <xdr:col>3</xdr:col>
          <xdr:colOff>1314450</xdr:colOff>
          <xdr:row>60</xdr:row>
          <xdr:rowOff>390525</xdr:rowOff>
        </xdr:to>
        <xdr:sp>
          <xdr:nvSpPr>
            <xdr:cNvPr id="107524" name="Object 4" hidden="1">
              <a:extLst>
                <a:ext uri="{63B3BB69-23CF-44E3-9099-C40C66FF867C}">
                  <a14:compatExt spid="_x0000_s107524"/>
                </a:ext>
              </a:extLst>
            </xdr:cNvPr>
            <xdr:cNvSpPr/>
          </xdr:nvSpPr>
          <xdr:spPr>
            <a:xfrm>
              <a:off x="6115050" y="26755725"/>
              <a:ext cx="1314450" cy="381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61</xdr:row>
          <xdr:rowOff>19050</xdr:rowOff>
        </xdr:from>
        <xdr:to>
          <xdr:col>3</xdr:col>
          <xdr:colOff>1371600</xdr:colOff>
          <xdr:row>61</xdr:row>
          <xdr:rowOff>419100</xdr:rowOff>
        </xdr:to>
        <xdr:sp>
          <xdr:nvSpPr>
            <xdr:cNvPr id="107525" name="Object 5" hidden="1">
              <a:extLst>
                <a:ext uri="{63B3BB69-23CF-44E3-9099-C40C66FF867C}">
                  <a14:compatExt spid="_x0000_s107525"/>
                </a:ext>
              </a:extLst>
            </xdr:cNvPr>
            <xdr:cNvSpPr/>
          </xdr:nvSpPr>
          <xdr:spPr>
            <a:xfrm>
              <a:off x="6115050" y="27211020"/>
              <a:ext cx="1371600"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62</xdr:row>
          <xdr:rowOff>28575</xdr:rowOff>
        </xdr:from>
        <xdr:to>
          <xdr:col>3</xdr:col>
          <xdr:colOff>1162050</xdr:colOff>
          <xdr:row>62</xdr:row>
          <xdr:rowOff>428625</xdr:rowOff>
        </xdr:to>
        <xdr:sp>
          <xdr:nvSpPr>
            <xdr:cNvPr id="107526" name="Object 6" hidden="1">
              <a:extLst>
                <a:ext uri="{63B3BB69-23CF-44E3-9099-C40C66FF867C}">
                  <a14:compatExt spid="_x0000_s107526"/>
                </a:ext>
              </a:extLst>
            </xdr:cNvPr>
            <xdr:cNvSpPr/>
          </xdr:nvSpPr>
          <xdr:spPr>
            <a:xfrm>
              <a:off x="6115050" y="27666315"/>
              <a:ext cx="1162050"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85</xdr:row>
          <xdr:rowOff>28575</xdr:rowOff>
        </xdr:from>
        <xdr:to>
          <xdr:col>3</xdr:col>
          <xdr:colOff>1362075</xdr:colOff>
          <xdr:row>85</xdr:row>
          <xdr:rowOff>723900</xdr:rowOff>
        </xdr:to>
        <xdr:sp>
          <xdr:nvSpPr>
            <xdr:cNvPr id="107527" name="Object 7" hidden="1">
              <a:extLst>
                <a:ext uri="{63B3BB69-23CF-44E3-9099-C40C66FF867C}">
                  <a14:compatExt spid="_x0000_s107527"/>
                </a:ext>
              </a:extLst>
            </xdr:cNvPr>
            <xdr:cNvSpPr/>
          </xdr:nvSpPr>
          <xdr:spPr>
            <a:xfrm>
              <a:off x="6115050" y="38044755"/>
              <a:ext cx="1362075"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137</xdr:row>
          <xdr:rowOff>76200</xdr:rowOff>
        </xdr:from>
        <xdr:to>
          <xdr:col>3</xdr:col>
          <xdr:colOff>2066925</xdr:colOff>
          <xdr:row>137</xdr:row>
          <xdr:rowOff>361950</xdr:rowOff>
        </xdr:to>
        <xdr:sp>
          <xdr:nvSpPr>
            <xdr:cNvPr id="107528" name="Object 8" hidden="1">
              <a:extLst>
                <a:ext uri="{63B3BB69-23CF-44E3-9099-C40C66FF867C}">
                  <a14:compatExt spid="_x0000_s107528"/>
                </a:ext>
              </a:extLst>
            </xdr:cNvPr>
            <xdr:cNvSpPr/>
          </xdr:nvSpPr>
          <xdr:spPr>
            <a:xfrm>
              <a:off x="6115050" y="68319015"/>
              <a:ext cx="2066925" cy="2857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138</xdr:row>
          <xdr:rowOff>85725</xdr:rowOff>
        </xdr:from>
        <xdr:to>
          <xdr:col>3</xdr:col>
          <xdr:colOff>1762125</xdr:colOff>
          <xdr:row>138</xdr:row>
          <xdr:rowOff>904875</xdr:rowOff>
        </xdr:to>
        <xdr:sp>
          <xdr:nvSpPr>
            <xdr:cNvPr id="107529" name="Object 9" hidden="1">
              <a:extLst>
                <a:ext uri="{63B3BB69-23CF-44E3-9099-C40C66FF867C}">
                  <a14:compatExt spid="_x0000_s107529"/>
                </a:ext>
              </a:extLst>
            </xdr:cNvPr>
            <xdr:cNvSpPr/>
          </xdr:nvSpPr>
          <xdr:spPr>
            <a:xfrm>
              <a:off x="6115050" y="68774310"/>
              <a:ext cx="1762125" cy="819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139</xdr:row>
          <xdr:rowOff>66675</xdr:rowOff>
        </xdr:from>
        <xdr:to>
          <xdr:col>3</xdr:col>
          <xdr:colOff>1762125</xdr:colOff>
          <xdr:row>139</xdr:row>
          <xdr:rowOff>885825</xdr:rowOff>
        </xdr:to>
        <xdr:sp>
          <xdr:nvSpPr>
            <xdr:cNvPr id="107530" name="Object 10" hidden="1">
              <a:extLst>
                <a:ext uri="{63B3BB69-23CF-44E3-9099-C40C66FF867C}">
                  <a14:compatExt spid="_x0000_s107530"/>
                </a:ext>
              </a:extLst>
            </xdr:cNvPr>
            <xdr:cNvSpPr/>
          </xdr:nvSpPr>
          <xdr:spPr>
            <a:xfrm>
              <a:off x="6115050" y="69734430"/>
              <a:ext cx="1762125" cy="819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140</xdr:row>
          <xdr:rowOff>47625</xdr:rowOff>
        </xdr:from>
        <xdr:to>
          <xdr:col>3</xdr:col>
          <xdr:colOff>1295400</xdr:colOff>
          <xdr:row>140</xdr:row>
          <xdr:rowOff>723900</xdr:rowOff>
        </xdr:to>
        <xdr:sp>
          <xdr:nvSpPr>
            <xdr:cNvPr id="107531" name="Object 11" hidden="1">
              <a:extLst>
                <a:ext uri="{63B3BB69-23CF-44E3-9099-C40C66FF867C}">
                  <a14:compatExt spid="_x0000_s107531"/>
                </a:ext>
              </a:extLst>
            </xdr:cNvPr>
            <xdr:cNvSpPr/>
          </xdr:nvSpPr>
          <xdr:spPr>
            <a:xfrm>
              <a:off x="6115050" y="70629780"/>
              <a:ext cx="1295400" cy="676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141</xdr:row>
          <xdr:rowOff>47625</xdr:rowOff>
        </xdr:from>
        <xdr:to>
          <xdr:col>3</xdr:col>
          <xdr:colOff>1352550</xdr:colOff>
          <xdr:row>141</xdr:row>
          <xdr:rowOff>742950</xdr:rowOff>
        </xdr:to>
        <xdr:sp>
          <xdr:nvSpPr>
            <xdr:cNvPr id="107532" name="Object 12" hidden="1">
              <a:extLst>
                <a:ext uri="{63B3BB69-23CF-44E3-9099-C40C66FF867C}">
                  <a14:compatExt spid="_x0000_s107532"/>
                </a:ext>
              </a:extLst>
            </xdr:cNvPr>
            <xdr:cNvSpPr/>
          </xdr:nvSpPr>
          <xdr:spPr>
            <a:xfrm>
              <a:off x="6115050" y="71391780"/>
              <a:ext cx="1352550"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144</xdr:row>
          <xdr:rowOff>38100</xdr:rowOff>
        </xdr:from>
        <xdr:to>
          <xdr:col>3</xdr:col>
          <xdr:colOff>2095500</xdr:colOff>
          <xdr:row>144</xdr:row>
          <xdr:rowOff>657225</xdr:rowOff>
        </xdr:to>
        <xdr:sp>
          <xdr:nvSpPr>
            <xdr:cNvPr id="107533" name="Object 13" hidden="1">
              <a:extLst>
                <a:ext uri="{63B3BB69-23CF-44E3-9099-C40C66FF867C}">
                  <a14:compatExt spid="_x0000_s107533"/>
                </a:ext>
              </a:extLst>
            </xdr:cNvPr>
            <xdr:cNvSpPr/>
          </xdr:nvSpPr>
          <xdr:spPr>
            <a:xfrm>
              <a:off x="6115050" y="73313925"/>
              <a:ext cx="2095500"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145</xdr:row>
          <xdr:rowOff>85725</xdr:rowOff>
        </xdr:from>
        <xdr:to>
          <xdr:col>3</xdr:col>
          <xdr:colOff>1952625</xdr:colOff>
          <xdr:row>145</xdr:row>
          <xdr:rowOff>590550</xdr:rowOff>
        </xdr:to>
        <xdr:sp>
          <xdr:nvSpPr>
            <xdr:cNvPr id="107534" name="Object 14" hidden="1">
              <a:extLst>
                <a:ext uri="{63B3BB69-23CF-44E3-9099-C40C66FF867C}">
                  <a14:compatExt spid="_x0000_s107534"/>
                </a:ext>
              </a:extLst>
            </xdr:cNvPr>
            <xdr:cNvSpPr/>
          </xdr:nvSpPr>
          <xdr:spPr>
            <a:xfrm>
              <a:off x="6115050" y="74047350"/>
              <a:ext cx="1952625"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147</xdr:row>
          <xdr:rowOff>85725</xdr:rowOff>
        </xdr:from>
        <xdr:to>
          <xdr:col>3</xdr:col>
          <xdr:colOff>762000</xdr:colOff>
          <xdr:row>147</xdr:row>
          <xdr:rowOff>742950</xdr:rowOff>
        </xdr:to>
        <xdr:sp>
          <xdr:nvSpPr>
            <xdr:cNvPr id="107535" name="Object 15" hidden="1">
              <a:extLst>
                <a:ext uri="{63B3BB69-23CF-44E3-9099-C40C66FF867C}">
                  <a14:compatExt spid="_x0000_s107535"/>
                </a:ext>
              </a:extLst>
            </xdr:cNvPr>
            <xdr:cNvSpPr/>
          </xdr:nvSpPr>
          <xdr:spPr>
            <a:xfrm>
              <a:off x="6115050" y="75343385"/>
              <a:ext cx="762000"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146</xdr:row>
          <xdr:rowOff>142875</xdr:rowOff>
        </xdr:from>
        <xdr:to>
          <xdr:col>3</xdr:col>
          <xdr:colOff>1171575</xdr:colOff>
          <xdr:row>146</xdr:row>
          <xdr:rowOff>571500</xdr:rowOff>
        </xdr:to>
        <xdr:sp>
          <xdr:nvSpPr>
            <xdr:cNvPr id="107536" name="Object 16" hidden="1">
              <a:extLst>
                <a:ext uri="{63B3BB69-23CF-44E3-9099-C40C66FF867C}">
                  <a14:compatExt spid="_x0000_s107536"/>
                </a:ext>
              </a:extLst>
            </xdr:cNvPr>
            <xdr:cNvSpPr/>
          </xdr:nvSpPr>
          <xdr:spPr>
            <a:xfrm>
              <a:off x="6115050" y="74764265"/>
              <a:ext cx="1171575"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148</xdr:row>
          <xdr:rowOff>66675</xdr:rowOff>
        </xdr:from>
        <xdr:to>
          <xdr:col>3</xdr:col>
          <xdr:colOff>1219200</xdr:colOff>
          <xdr:row>148</xdr:row>
          <xdr:rowOff>533400</xdr:rowOff>
        </xdr:to>
        <xdr:sp>
          <xdr:nvSpPr>
            <xdr:cNvPr id="107537" name="Object 17" hidden="1">
              <a:extLst>
                <a:ext uri="{63B3BB69-23CF-44E3-9099-C40C66FF867C}">
                  <a14:compatExt spid="_x0000_s107537"/>
                </a:ext>
              </a:extLst>
            </xdr:cNvPr>
            <xdr:cNvSpPr/>
          </xdr:nvSpPr>
          <xdr:spPr>
            <a:xfrm>
              <a:off x="6115050" y="76113005"/>
              <a:ext cx="1219200" cy="466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149</xdr:row>
          <xdr:rowOff>66675</xdr:rowOff>
        </xdr:from>
        <xdr:to>
          <xdr:col>3</xdr:col>
          <xdr:colOff>1943100</xdr:colOff>
          <xdr:row>149</xdr:row>
          <xdr:rowOff>571500</xdr:rowOff>
        </xdr:to>
        <xdr:sp>
          <xdr:nvSpPr>
            <xdr:cNvPr id="107538" name="Object 18" hidden="1">
              <a:extLst>
                <a:ext uri="{63B3BB69-23CF-44E3-9099-C40C66FF867C}">
                  <a14:compatExt spid="_x0000_s107538"/>
                </a:ext>
              </a:extLst>
            </xdr:cNvPr>
            <xdr:cNvSpPr/>
          </xdr:nvSpPr>
          <xdr:spPr>
            <a:xfrm>
              <a:off x="6115050" y="76711175"/>
              <a:ext cx="1943100"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150</xdr:row>
          <xdr:rowOff>76200</xdr:rowOff>
        </xdr:from>
        <xdr:to>
          <xdr:col>3</xdr:col>
          <xdr:colOff>1190625</xdr:colOff>
          <xdr:row>150</xdr:row>
          <xdr:rowOff>504825</xdr:rowOff>
        </xdr:to>
        <xdr:sp>
          <xdr:nvSpPr>
            <xdr:cNvPr id="107539" name="Object 19" hidden="1">
              <a:extLst>
                <a:ext uri="{63B3BB69-23CF-44E3-9099-C40C66FF867C}">
                  <a14:compatExt spid="_x0000_s107539"/>
                </a:ext>
              </a:extLst>
            </xdr:cNvPr>
            <xdr:cNvSpPr/>
          </xdr:nvSpPr>
          <xdr:spPr>
            <a:xfrm>
              <a:off x="6115050" y="77356970"/>
              <a:ext cx="1190625"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86</xdr:row>
          <xdr:rowOff>57150</xdr:rowOff>
        </xdr:from>
        <xdr:to>
          <xdr:col>3</xdr:col>
          <xdr:colOff>1733550</xdr:colOff>
          <xdr:row>86</xdr:row>
          <xdr:rowOff>781050</xdr:rowOff>
        </xdr:to>
        <xdr:sp>
          <xdr:nvSpPr>
            <xdr:cNvPr id="107540" name="Object 20" hidden="1">
              <a:extLst>
                <a:ext uri="{63B3BB69-23CF-44E3-9099-C40C66FF867C}">
                  <a14:compatExt spid="_x0000_s107540"/>
                </a:ext>
              </a:extLst>
            </xdr:cNvPr>
            <xdr:cNvSpPr/>
          </xdr:nvSpPr>
          <xdr:spPr>
            <a:xfrm>
              <a:off x="6115050" y="38835330"/>
              <a:ext cx="1733550" cy="7239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87</xdr:row>
          <xdr:rowOff>66675</xdr:rowOff>
        </xdr:from>
        <xdr:to>
          <xdr:col>3</xdr:col>
          <xdr:colOff>1323975</xdr:colOff>
          <xdr:row>87</xdr:row>
          <xdr:rowOff>552450</xdr:rowOff>
        </xdr:to>
        <xdr:sp>
          <xdr:nvSpPr>
            <xdr:cNvPr id="107541" name="Object 21" hidden="1">
              <a:extLst>
                <a:ext uri="{63B3BB69-23CF-44E3-9099-C40C66FF867C}">
                  <a14:compatExt spid="_x0000_s107541"/>
                </a:ext>
              </a:extLst>
            </xdr:cNvPr>
            <xdr:cNvSpPr/>
          </xdr:nvSpPr>
          <xdr:spPr>
            <a:xfrm>
              <a:off x="6115050" y="39644955"/>
              <a:ext cx="132397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208</xdr:row>
          <xdr:rowOff>76200</xdr:rowOff>
        </xdr:from>
        <xdr:to>
          <xdr:col>3</xdr:col>
          <xdr:colOff>1314450</xdr:colOff>
          <xdr:row>208</xdr:row>
          <xdr:rowOff>361950</xdr:rowOff>
        </xdr:to>
        <xdr:sp>
          <xdr:nvSpPr>
            <xdr:cNvPr id="107542" name="Object 30722" hidden="1">
              <a:extLst>
                <a:ext uri="{63B3BB69-23CF-44E3-9099-C40C66FF867C}">
                  <a14:compatExt spid="_x0000_s107542"/>
                </a:ext>
              </a:extLst>
            </xdr:cNvPr>
            <xdr:cNvSpPr/>
          </xdr:nvSpPr>
          <xdr:spPr>
            <a:xfrm>
              <a:off x="6115050" y="104424480"/>
              <a:ext cx="1314450" cy="2857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209</xdr:row>
          <xdr:rowOff>85725</xdr:rowOff>
        </xdr:from>
        <xdr:to>
          <xdr:col>3</xdr:col>
          <xdr:colOff>2333625</xdr:colOff>
          <xdr:row>209</xdr:row>
          <xdr:rowOff>400050</xdr:rowOff>
        </xdr:to>
        <xdr:sp>
          <xdr:nvSpPr>
            <xdr:cNvPr id="107543" name="Object 30723" hidden="1">
              <a:extLst>
                <a:ext uri="{63B3BB69-23CF-44E3-9099-C40C66FF867C}">
                  <a14:compatExt spid="_x0000_s107543"/>
                </a:ext>
              </a:extLst>
            </xdr:cNvPr>
            <xdr:cNvSpPr/>
          </xdr:nvSpPr>
          <xdr:spPr>
            <a:xfrm>
              <a:off x="6115050" y="104879775"/>
              <a:ext cx="2333625" cy="314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91</xdr:row>
          <xdr:rowOff>38100</xdr:rowOff>
        </xdr:from>
        <xdr:to>
          <xdr:col>3</xdr:col>
          <xdr:colOff>257175</xdr:colOff>
          <xdr:row>92</xdr:row>
          <xdr:rowOff>0</xdr:rowOff>
        </xdr:to>
        <xdr:sp>
          <xdr:nvSpPr>
            <xdr:cNvPr id="107544" name="Object 24" hidden="1">
              <a:extLst>
                <a:ext uri="{63B3BB69-23CF-44E3-9099-C40C66FF867C}">
                  <a14:compatExt spid="_x0000_s107544"/>
                </a:ext>
              </a:extLst>
            </xdr:cNvPr>
            <xdr:cNvSpPr/>
          </xdr:nvSpPr>
          <xdr:spPr>
            <a:xfrm>
              <a:off x="6115050" y="41698545"/>
              <a:ext cx="257175" cy="4076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89</xdr:row>
          <xdr:rowOff>38100</xdr:rowOff>
        </xdr:from>
        <xdr:to>
          <xdr:col>3</xdr:col>
          <xdr:colOff>561975</xdr:colOff>
          <xdr:row>89</xdr:row>
          <xdr:rowOff>447675</xdr:rowOff>
        </xdr:to>
        <xdr:sp>
          <xdr:nvSpPr>
            <xdr:cNvPr id="107545" name="Object 25" hidden="1">
              <a:extLst>
                <a:ext uri="{63B3BB69-23CF-44E3-9099-C40C66FF867C}">
                  <a14:compatExt spid="_x0000_s107545"/>
                </a:ext>
              </a:extLst>
            </xdr:cNvPr>
            <xdr:cNvSpPr/>
          </xdr:nvSpPr>
          <xdr:spPr>
            <a:xfrm>
              <a:off x="6115050" y="40669210"/>
              <a:ext cx="561975" cy="4095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90</xdr:row>
          <xdr:rowOff>28575</xdr:rowOff>
        </xdr:from>
        <xdr:to>
          <xdr:col>3</xdr:col>
          <xdr:colOff>847725</xdr:colOff>
          <xdr:row>91</xdr:row>
          <xdr:rowOff>2597</xdr:rowOff>
        </xdr:to>
        <xdr:sp>
          <xdr:nvSpPr>
            <xdr:cNvPr id="107546" name="Object 26" hidden="1">
              <a:extLst>
                <a:ext uri="{63B3BB69-23CF-44E3-9099-C40C66FF867C}">
                  <a14:compatExt spid="_x0000_s107546"/>
                </a:ext>
              </a:extLst>
            </xdr:cNvPr>
            <xdr:cNvSpPr/>
          </xdr:nvSpPr>
          <xdr:spPr>
            <a:xfrm>
              <a:off x="6115050" y="41181655"/>
              <a:ext cx="847725" cy="4813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88</xdr:row>
          <xdr:rowOff>28575</xdr:rowOff>
        </xdr:from>
        <xdr:to>
          <xdr:col>3</xdr:col>
          <xdr:colOff>504825</xdr:colOff>
          <xdr:row>88</xdr:row>
          <xdr:rowOff>447675</xdr:rowOff>
        </xdr:to>
        <xdr:sp>
          <xdr:nvSpPr>
            <xdr:cNvPr id="107547" name="Object 27" hidden="1">
              <a:extLst>
                <a:ext uri="{63B3BB69-23CF-44E3-9099-C40C66FF867C}">
                  <a14:compatExt spid="_x0000_s107547"/>
                </a:ext>
              </a:extLst>
            </xdr:cNvPr>
            <xdr:cNvSpPr/>
          </xdr:nvSpPr>
          <xdr:spPr>
            <a:xfrm>
              <a:off x="6115050" y="40190420"/>
              <a:ext cx="50482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132</xdr:row>
          <xdr:rowOff>47625</xdr:rowOff>
        </xdr:from>
        <xdr:to>
          <xdr:col>3</xdr:col>
          <xdr:colOff>733425</xdr:colOff>
          <xdr:row>132</xdr:row>
          <xdr:rowOff>638175</xdr:rowOff>
        </xdr:to>
        <xdr:sp>
          <xdr:nvSpPr>
            <xdr:cNvPr id="107548" name="Object 28" hidden="1">
              <a:extLst>
                <a:ext uri="{63B3BB69-23CF-44E3-9099-C40C66FF867C}">
                  <a14:compatExt spid="_x0000_s107548"/>
                </a:ext>
              </a:extLst>
            </xdr:cNvPr>
            <xdr:cNvSpPr/>
          </xdr:nvSpPr>
          <xdr:spPr>
            <a:xfrm>
              <a:off x="6115050" y="64997965"/>
              <a:ext cx="733425" cy="590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133</xdr:row>
          <xdr:rowOff>104775</xdr:rowOff>
        </xdr:from>
        <xdr:to>
          <xdr:col>3</xdr:col>
          <xdr:colOff>771525</xdr:colOff>
          <xdr:row>133</xdr:row>
          <xdr:rowOff>638175</xdr:rowOff>
        </xdr:to>
        <xdr:sp>
          <xdr:nvSpPr>
            <xdr:cNvPr id="107549" name="Object 29" hidden="1">
              <a:extLst>
                <a:ext uri="{63B3BB69-23CF-44E3-9099-C40C66FF867C}">
                  <a14:compatExt spid="_x0000_s107549"/>
                </a:ext>
              </a:extLst>
            </xdr:cNvPr>
            <xdr:cNvSpPr/>
          </xdr:nvSpPr>
          <xdr:spPr>
            <a:xfrm>
              <a:off x="6115050" y="65714880"/>
              <a:ext cx="771525" cy="533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134</xdr:row>
          <xdr:rowOff>66675</xdr:rowOff>
        </xdr:from>
        <xdr:to>
          <xdr:col>3</xdr:col>
          <xdr:colOff>1000125</xdr:colOff>
          <xdr:row>134</xdr:row>
          <xdr:rowOff>676275</xdr:rowOff>
        </xdr:to>
        <xdr:sp>
          <xdr:nvSpPr>
            <xdr:cNvPr id="107550" name="Object 30" hidden="1">
              <a:extLst>
                <a:ext uri="{63B3BB69-23CF-44E3-9099-C40C66FF867C}">
                  <a14:compatExt spid="_x0000_s107550"/>
                </a:ext>
              </a:extLst>
            </xdr:cNvPr>
            <xdr:cNvSpPr/>
          </xdr:nvSpPr>
          <xdr:spPr>
            <a:xfrm>
              <a:off x="6115050" y="66400680"/>
              <a:ext cx="1000125" cy="609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135</xdr:row>
          <xdr:rowOff>76200</xdr:rowOff>
        </xdr:from>
        <xdr:to>
          <xdr:col>3</xdr:col>
          <xdr:colOff>1009650</xdr:colOff>
          <xdr:row>136</xdr:row>
          <xdr:rowOff>1731</xdr:rowOff>
        </xdr:to>
        <xdr:sp>
          <xdr:nvSpPr>
            <xdr:cNvPr id="107551" name="Object 31" hidden="1">
              <a:extLst>
                <a:ext uri="{63B3BB69-23CF-44E3-9099-C40C66FF867C}">
                  <a14:compatExt spid="_x0000_s107551"/>
                </a:ext>
              </a:extLst>
            </xdr:cNvPr>
            <xdr:cNvSpPr/>
          </xdr:nvSpPr>
          <xdr:spPr>
            <a:xfrm>
              <a:off x="6115050" y="67122675"/>
              <a:ext cx="1009650" cy="5232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136</xdr:row>
          <xdr:rowOff>142875</xdr:rowOff>
        </xdr:from>
        <xdr:to>
          <xdr:col>3</xdr:col>
          <xdr:colOff>752475</xdr:colOff>
          <xdr:row>136</xdr:row>
          <xdr:rowOff>466725</xdr:rowOff>
        </xdr:to>
        <xdr:sp>
          <xdr:nvSpPr>
            <xdr:cNvPr id="107552" name="Object 32" hidden="1">
              <a:extLst>
                <a:ext uri="{63B3BB69-23CF-44E3-9099-C40C66FF867C}">
                  <a14:compatExt spid="_x0000_s107552"/>
                </a:ext>
              </a:extLst>
            </xdr:cNvPr>
            <xdr:cNvSpPr/>
          </xdr:nvSpPr>
          <xdr:spPr>
            <a:xfrm>
              <a:off x="6115050" y="67787520"/>
              <a:ext cx="75247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156</xdr:row>
          <xdr:rowOff>38100</xdr:rowOff>
        </xdr:from>
        <xdr:to>
          <xdr:col>3</xdr:col>
          <xdr:colOff>1133475</xdr:colOff>
          <xdr:row>156</xdr:row>
          <xdr:rowOff>590550</xdr:rowOff>
        </xdr:to>
        <xdr:sp>
          <xdr:nvSpPr>
            <xdr:cNvPr id="107553" name="Object 33" hidden="1">
              <a:extLst>
                <a:ext uri="{63B3BB69-23CF-44E3-9099-C40C66FF867C}">
                  <a14:compatExt spid="_x0000_s107553"/>
                </a:ext>
              </a:extLst>
            </xdr:cNvPr>
            <xdr:cNvSpPr/>
          </xdr:nvSpPr>
          <xdr:spPr>
            <a:xfrm>
              <a:off x="6115050" y="80942815"/>
              <a:ext cx="1133475" cy="552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151</xdr:row>
          <xdr:rowOff>28575</xdr:rowOff>
        </xdr:from>
        <xdr:to>
          <xdr:col>3</xdr:col>
          <xdr:colOff>571500</xdr:colOff>
          <xdr:row>152</xdr:row>
          <xdr:rowOff>5195</xdr:rowOff>
        </xdr:to>
        <xdr:sp>
          <xdr:nvSpPr>
            <xdr:cNvPr id="107554" name="Object 34" hidden="1">
              <a:extLst>
                <a:ext uri="{63B3BB69-23CF-44E3-9099-C40C66FF867C}">
                  <a14:compatExt spid="_x0000_s107554"/>
                </a:ext>
              </a:extLst>
            </xdr:cNvPr>
            <xdr:cNvSpPr/>
          </xdr:nvSpPr>
          <xdr:spPr>
            <a:xfrm>
              <a:off x="6115050" y="77892910"/>
              <a:ext cx="571500" cy="422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155</xdr:row>
          <xdr:rowOff>38100</xdr:rowOff>
        </xdr:from>
        <xdr:to>
          <xdr:col>3</xdr:col>
          <xdr:colOff>1762125</xdr:colOff>
          <xdr:row>155</xdr:row>
          <xdr:rowOff>1181100</xdr:rowOff>
        </xdr:to>
        <xdr:sp>
          <xdr:nvSpPr>
            <xdr:cNvPr id="107555" name="Object 35" hidden="1">
              <a:extLst>
                <a:ext uri="{63B3BB69-23CF-44E3-9099-C40C66FF867C}">
                  <a14:compatExt spid="_x0000_s107555"/>
                </a:ext>
              </a:extLst>
            </xdr:cNvPr>
            <xdr:cNvSpPr/>
          </xdr:nvSpPr>
          <xdr:spPr>
            <a:xfrm>
              <a:off x="6115050" y="79685515"/>
              <a:ext cx="1762125" cy="1143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93</xdr:row>
          <xdr:rowOff>85725</xdr:rowOff>
        </xdr:from>
        <xdr:to>
          <xdr:col>3</xdr:col>
          <xdr:colOff>2219325</xdr:colOff>
          <xdr:row>93</xdr:row>
          <xdr:rowOff>714375</xdr:rowOff>
        </xdr:to>
        <xdr:sp>
          <xdr:nvSpPr>
            <xdr:cNvPr id="107556" name="Object 36" hidden="1">
              <a:extLst>
                <a:ext uri="{63B3BB69-23CF-44E3-9099-C40C66FF867C}">
                  <a14:compatExt spid="_x0000_s107556"/>
                </a:ext>
              </a:extLst>
            </xdr:cNvPr>
            <xdr:cNvSpPr/>
          </xdr:nvSpPr>
          <xdr:spPr>
            <a:xfrm>
              <a:off x="6115050" y="42637710"/>
              <a:ext cx="2219325" cy="628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94</xdr:row>
          <xdr:rowOff>76200</xdr:rowOff>
        </xdr:from>
        <xdr:to>
          <xdr:col>3</xdr:col>
          <xdr:colOff>2457450</xdr:colOff>
          <xdr:row>94</xdr:row>
          <xdr:rowOff>695325</xdr:rowOff>
        </xdr:to>
        <xdr:sp>
          <xdr:nvSpPr>
            <xdr:cNvPr id="107557" name="Object 37" hidden="1">
              <a:extLst>
                <a:ext uri="{63B3BB69-23CF-44E3-9099-C40C66FF867C}">
                  <a14:compatExt spid="_x0000_s107557"/>
                </a:ext>
              </a:extLst>
            </xdr:cNvPr>
            <xdr:cNvSpPr/>
          </xdr:nvSpPr>
          <xdr:spPr>
            <a:xfrm>
              <a:off x="6115050" y="43378755"/>
              <a:ext cx="2457450"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95</xdr:row>
          <xdr:rowOff>85725</xdr:rowOff>
        </xdr:from>
        <xdr:to>
          <xdr:col>3</xdr:col>
          <xdr:colOff>2571750</xdr:colOff>
          <xdr:row>95</xdr:row>
          <xdr:rowOff>742950</xdr:rowOff>
        </xdr:to>
        <xdr:sp>
          <xdr:nvSpPr>
            <xdr:cNvPr id="107558" name="Object 38" hidden="1">
              <a:extLst>
                <a:ext uri="{63B3BB69-23CF-44E3-9099-C40C66FF867C}">
                  <a14:compatExt spid="_x0000_s107558"/>
                </a:ext>
              </a:extLst>
            </xdr:cNvPr>
            <xdr:cNvSpPr/>
          </xdr:nvSpPr>
          <xdr:spPr>
            <a:xfrm>
              <a:off x="6115050" y="44112180"/>
              <a:ext cx="2571750"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96</xdr:row>
          <xdr:rowOff>57150</xdr:rowOff>
        </xdr:from>
        <xdr:to>
          <xdr:col>3</xdr:col>
          <xdr:colOff>2790825</xdr:colOff>
          <xdr:row>96</xdr:row>
          <xdr:rowOff>714375</xdr:rowOff>
        </xdr:to>
        <xdr:sp>
          <xdr:nvSpPr>
            <xdr:cNvPr id="107559" name="Object 39" hidden="1">
              <a:extLst>
                <a:ext uri="{63B3BB69-23CF-44E3-9099-C40C66FF867C}">
                  <a14:compatExt spid="_x0000_s107559"/>
                </a:ext>
              </a:extLst>
            </xdr:cNvPr>
            <xdr:cNvSpPr/>
          </xdr:nvSpPr>
          <xdr:spPr>
            <a:xfrm>
              <a:off x="6115050" y="44872275"/>
              <a:ext cx="2790825"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101</xdr:row>
          <xdr:rowOff>85725</xdr:rowOff>
        </xdr:from>
        <xdr:to>
          <xdr:col>3</xdr:col>
          <xdr:colOff>1428750</xdr:colOff>
          <xdr:row>101</xdr:row>
          <xdr:rowOff>638175</xdr:rowOff>
        </xdr:to>
        <xdr:sp>
          <xdr:nvSpPr>
            <xdr:cNvPr id="107560" name="Object 40" hidden="1">
              <a:extLst>
                <a:ext uri="{63B3BB69-23CF-44E3-9099-C40C66FF867C}">
                  <a14:compatExt spid="_x0000_s107560"/>
                </a:ext>
              </a:extLst>
            </xdr:cNvPr>
            <xdr:cNvSpPr/>
          </xdr:nvSpPr>
          <xdr:spPr>
            <a:xfrm>
              <a:off x="6115050" y="47774225"/>
              <a:ext cx="1428750" cy="552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102</xdr:row>
          <xdr:rowOff>66675</xdr:rowOff>
        </xdr:from>
        <xdr:to>
          <xdr:col>3</xdr:col>
          <xdr:colOff>1743075</xdr:colOff>
          <xdr:row>102</xdr:row>
          <xdr:rowOff>657225</xdr:rowOff>
        </xdr:to>
        <xdr:sp>
          <xdr:nvSpPr>
            <xdr:cNvPr id="107561" name="Object 41" hidden="1">
              <a:extLst>
                <a:ext uri="{63B3BB69-23CF-44E3-9099-C40C66FF867C}">
                  <a14:compatExt spid="_x0000_s107561"/>
                </a:ext>
              </a:extLst>
            </xdr:cNvPr>
            <xdr:cNvSpPr/>
          </xdr:nvSpPr>
          <xdr:spPr>
            <a:xfrm>
              <a:off x="6115050" y="48467645"/>
              <a:ext cx="1743075" cy="590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103</xdr:row>
          <xdr:rowOff>95250</xdr:rowOff>
        </xdr:from>
        <xdr:to>
          <xdr:col>3</xdr:col>
          <xdr:colOff>2171700</xdr:colOff>
          <xdr:row>103</xdr:row>
          <xdr:rowOff>714375</xdr:rowOff>
        </xdr:to>
        <xdr:sp>
          <xdr:nvSpPr>
            <xdr:cNvPr id="107562" name="Object 42" hidden="1">
              <a:extLst>
                <a:ext uri="{63B3BB69-23CF-44E3-9099-C40C66FF867C}">
                  <a14:compatExt spid="_x0000_s107562"/>
                </a:ext>
              </a:extLst>
            </xdr:cNvPr>
            <xdr:cNvSpPr/>
          </xdr:nvSpPr>
          <xdr:spPr>
            <a:xfrm>
              <a:off x="6115050" y="49182020"/>
              <a:ext cx="2171700"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104</xdr:row>
          <xdr:rowOff>66675</xdr:rowOff>
        </xdr:from>
        <xdr:to>
          <xdr:col>3</xdr:col>
          <xdr:colOff>2695575</xdr:colOff>
          <xdr:row>104</xdr:row>
          <xdr:rowOff>723900</xdr:rowOff>
        </xdr:to>
        <xdr:sp>
          <xdr:nvSpPr>
            <xdr:cNvPr id="107563" name="Object 43" hidden="1">
              <a:extLst>
                <a:ext uri="{63B3BB69-23CF-44E3-9099-C40C66FF867C}">
                  <a14:compatExt spid="_x0000_s107563"/>
                </a:ext>
              </a:extLst>
            </xdr:cNvPr>
            <xdr:cNvSpPr/>
          </xdr:nvSpPr>
          <xdr:spPr>
            <a:xfrm>
              <a:off x="6115050" y="49904015"/>
              <a:ext cx="2695575"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97</xdr:row>
          <xdr:rowOff>57150</xdr:rowOff>
        </xdr:from>
        <xdr:to>
          <xdr:col>3</xdr:col>
          <xdr:colOff>2295525</xdr:colOff>
          <xdr:row>97</xdr:row>
          <xdr:rowOff>695325</xdr:rowOff>
        </xdr:to>
        <xdr:sp>
          <xdr:nvSpPr>
            <xdr:cNvPr id="107564" name="Object 44" hidden="1">
              <a:extLst>
                <a:ext uri="{63B3BB69-23CF-44E3-9099-C40C66FF867C}">
                  <a14:compatExt spid="_x0000_s107564"/>
                </a:ext>
              </a:extLst>
            </xdr:cNvPr>
            <xdr:cNvSpPr/>
          </xdr:nvSpPr>
          <xdr:spPr>
            <a:xfrm>
              <a:off x="6115050" y="45646340"/>
              <a:ext cx="2295525" cy="638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105</xdr:row>
          <xdr:rowOff>104775</xdr:rowOff>
        </xdr:from>
        <xdr:to>
          <xdr:col>3</xdr:col>
          <xdr:colOff>2505075</xdr:colOff>
          <xdr:row>105</xdr:row>
          <xdr:rowOff>742950</xdr:rowOff>
        </xdr:to>
        <xdr:sp>
          <xdr:nvSpPr>
            <xdr:cNvPr id="107565" name="Object 45" hidden="1">
              <a:extLst>
                <a:ext uri="{63B3BB69-23CF-44E3-9099-C40C66FF867C}">
                  <a14:compatExt spid="_x0000_s107565"/>
                </a:ext>
              </a:extLst>
            </xdr:cNvPr>
            <xdr:cNvSpPr/>
          </xdr:nvSpPr>
          <xdr:spPr>
            <a:xfrm>
              <a:off x="6115050" y="50716180"/>
              <a:ext cx="2505075" cy="638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109</xdr:row>
          <xdr:rowOff>76200</xdr:rowOff>
        </xdr:from>
        <xdr:to>
          <xdr:col>3</xdr:col>
          <xdr:colOff>1466850</xdr:colOff>
          <xdr:row>109</xdr:row>
          <xdr:rowOff>676275</xdr:rowOff>
        </xdr:to>
        <xdr:sp>
          <xdr:nvSpPr>
            <xdr:cNvPr id="107566" name="Object 46" hidden="1">
              <a:extLst>
                <a:ext uri="{63B3BB69-23CF-44E3-9099-C40C66FF867C}">
                  <a14:compatExt spid="_x0000_s107566"/>
                </a:ext>
              </a:extLst>
            </xdr:cNvPr>
            <xdr:cNvSpPr/>
          </xdr:nvSpPr>
          <xdr:spPr>
            <a:xfrm>
              <a:off x="6115050" y="52837080"/>
              <a:ext cx="1466850" cy="600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110</xdr:row>
          <xdr:rowOff>85725</xdr:rowOff>
        </xdr:from>
        <xdr:to>
          <xdr:col>3</xdr:col>
          <xdr:colOff>2628900</xdr:colOff>
          <xdr:row>110</xdr:row>
          <xdr:rowOff>781050</xdr:rowOff>
        </xdr:to>
        <xdr:sp>
          <xdr:nvSpPr>
            <xdr:cNvPr id="107567" name="Object 47" hidden="1">
              <a:extLst>
                <a:ext uri="{63B3BB69-23CF-44E3-9099-C40C66FF867C}">
                  <a14:compatExt spid="_x0000_s107567"/>
                </a:ext>
              </a:extLst>
            </xdr:cNvPr>
            <xdr:cNvSpPr/>
          </xdr:nvSpPr>
          <xdr:spPr>
            <a:xfrm>
              <a:off x="6115050" y="53544470"/>
              <a:ext cx="2628900" cy="695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112</xdr:row>
          <xdr:rowOff>104775</xdr:rowOff>
        </xdr:from>
        <xdr:to>
          <xdr:col>3</xdr:col>
          <xdr:colOff>2324100</xdr:colOff>
          <xdr:row>112</xdr:row>
          <xdr:rowOff>723900</xdr:rowOff>
        </xdr:to>
        <xdr:sp>
          <xdr:nvSpPr>
            <xdr:cNvPr id="107568" name="Object 48" hidden="1">
              <a:extLst>
                <a:ext uri="{63B3BB69-23CF-44E3-9099-C40C66FF867C}">
                  <a14:compatExt spid="_x0000_s107568"/>
                </a:ext>
              </a:extLst>
            </xdr:cNvPr>
            <xdr:cNvSpPr/>
          </xdr:nvSpPr>
          <xdr:spPr>
            <a:xfrm>
              <a:off x="6115050" y="55342790"/>
              <a:ext cx="2324100"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111</xdr:row>
          <xdr:rowOff>95250</xdr:rowOff>
        </xdr:from>
        <xdr:to>
          <xdr:col>3</xdr:col>
          <xdr:colOff>2724150</xdr:colOff>
          <xdr:row>111</xdr:row>
          <xdr:rowOff>809625</xdr:rowOff>
        </xdr:to>
        <xdr:sp>
          <xdr:nvSpPr>
            <xdr:cNvPr id="107569" name="Object 49" hidden="1">
              <a:extLst>
                <a:ext uri="{63B3BB69-23CF-44E3-9099-C40C66FF867C}">
                  <a14:compatExt spid="_x0000_s107569"/>
                </a:ext>
              </a:extLst>
            </xdr:cNvPr>
            <xdr:cNvSpPr/>
          </xdr:nvSpPr>
          <xdr:spPr>
            <a:xfrm>
              <a:off x="6115050" y="54430295"/>
              <a:ext cx="2724150" cy="714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161925</xdr:rowOff>
        </xdr:from>
        <xdr:to>
          <xdr:col>3</xdr:col>
          <xdr:colOff>809625</xdr:colOff>
          <xdr:row>76</xdr:row>
          <xdr:rowOff>438150</xdr:rowOff>
        </xdr:to>
        <xdr:sp>
          <xdr:nvSpPr>
            <xdr:cNvPr id="107570" name="Object 50" hidden="1">
              <a:extLst>
                <a:ext uri="{63B3BB69-23CF-44E3-9099-C40C66FF867C}">
                  <a14:compatExt spid="_x0000_s107570"/>
                </a:ext>
              </a:extLst>
            </xdr:cNvPr>
            <xdr:cNvSpPr/>
          </xdr:nvSpPr>
          <xdr:spPr>
            <a:xfrm>
              <a:off x="6115050" y="34040445"/>
              <a:ext cx="809625" cy="276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77</xdr:row>
          <xdr:rowOff>9525</xdr:rowOff>
        </xdr:from>
        <xdr:to>
          <xdr:col>3</xdr:col>
          <xdr:colOff>933450</xdr:colOff>
          <xdr:row>77</xdr:row>
          <xdr:rowOff>485775</xdr:rowOff>
        </xdr:to>
        <xdr:sp>
          <xdr:nvSpPr>
            <xdr:cNvPr id="107571" name="Object 51" hidden="1">
              <a:extLst>
                <a:ext uri="{63B3BB69-23CF-44E3-9099-C40C66FF867C}">
                  <a14:compatExt spid="_x0000_s107571"/>
                </a:ext>
              </a:extLst>
            </xdr:cNvPr>
            <xdr:cNvSpPr/>
          </xdr:nvSpPr>
          <xdr:spPr>
            <a:xfrm>
              <a:off x="6115050" y="34371915"/>
              <a:ext cx="933450"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68</xdr:row>
          <xdr:rowOff>38100</xdr:rowOff>
        </xdr:from>
        <xdr:to>
          <xdr:col>3</xdr:col>
          <xdr:colOff>723900</xdr:colOff>
          <xdr:row>69</xdr:row>
          <xdr:rowOff>9525</xdr:rowOff>
        </xdr:to>
        <xdr:sp>
          <xdr:nvSpPr>
            <xdr:cNvPr id="107572" name="Object 52" hidden="1">
              <a:extLst>
                <a:ext uri="{63B3BB69-23CF-44E3-9099-C40C66FF867C}">
                  <a14:compatExt spid="_x0000_s107572"/>
                </a:ext>
              </a:extLst>
            </xdr:cNvPr>
            <xdr:cNvSpPr/>
          </xdr:nvSpPr>
          <xdr:spPr>
            <a:xfrm>
              <a:off x="6115050" y="30350460"/>
              <a:ext cx="723900" cy="417195"/>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876300</xdr:colOff>
          <xdr:row>38</xdr:row>
          <xdr:rowOff>76200</xdr:rowOff>
        </xdr:from>
        <xdr:to>
          <xdr:col>3</xdr:col>
          <xdr:colOff>1952625</xdr:colOff>
          <xdr:row>38</xdr:row>
          <xdr:rowOff>504825</xdr:rowOff>
        </xdr:to>
        <xdr:sp>
          <xdr:nvSpPr>
            <xdr:cNvPr id="108545" name="Object 1" hidden="1">
              <a:extLst>
                <a:ext uri="{63B3BB69-23CF-44E3-9099-C40C66FF867C}">
                  <a14:compatExt spid="_x0000_s108545"/>
                </a:ext>
              </a:extLst>
            </xdr:cNvPr>
            <xdr:cNvSpPr/>
          </xdr:nvSpPr>
          <xdr:spPr>
            <a:xfrm>
              <a:off x="6600825" y="12155805"/>
              <a:ext cx="1076325"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800100</xdr:colOff>
          <xdr:row>39</xdr:row>
          <xdr:rowOff>47625</xdr:rowOff>
        </xdr:from>
        <xdr:to>
          <xdr:col>3</xdr:col>
          <xdr:colOff>2095500</xdr:colOff>
          <xdr:row>39</xdr:row>
          <xdr:rowOff>581025</xdr:rowOff>
        </xdr:to>
        <xdr:sp>
          <xdr:nvSpPr>
            <xdr:cNvPr id="108546" name="Object 2" hidden="1">
              <a:extLst>
                <a:ext uri="{63B3BB69-23CF-44E3-9099-C40C66FF867C}">
                  <a14:compatExt spid="_x0000_s108546"/>
                </a:ext>
              </a:extLst>
            </xdr:cNvPr>
            <xdr:cNvSpPr/>
          </xdr:nvSpPr>
          <xdr:spPr>
            <a:xfrm>
              <a:off x="6524625" y="12725400"/>
              <a:ext cx="1295400" cy="533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40</xdr:row>
          <xdr:rowOff>66675</xdr:rowOff>
        </xdr:from>
        <xdr:to>
          <xdr:col>3</xdr:col>
          <xdr:colOff>2486025</xdr:colOff>
          <xdr:row>40</xdr:row>
          <xdr:rowOff>371475</xdr:rowOff>
        </xdr:to>
        <xdr:sp>
          <xdr:nvSpPr>
            <xdr:cNvPr id="108547" name="Object 3" hidden="1">
              <a:extLst>
                <a:ext uri="{63B3BB69-23CF-44E3-9099-C40C66FF867C}">
                  <a14:compatExt spid="_x0000_s108547"/>
                </a:ext>
              </a:extLst>
            </xdr:cNvPr>
            <xdr:cNvSpPr/>
          </xdr:nvSpPr>
          <xdr:spPr>
            <a:xfrm>
              <a:off x="6381750" y="13366115"/>
              <a:ext cx="1828800" cy="304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1152525</xdr:colOff>
          <xdr:row>41</xdr:row>
          <xdr:rowOff>85725</xdr:rowOff>
        </xdr:from>
        <xdr:to>
          <xdr:col>3</xdr:col>
          <xdr:colOff>1743075</xdr:colOff>
          <xdr:row>41</xdr:row>
          <xdr:rowOff>523875</xdr:rowOff>
        </xdr:to>
        <xdr:sp>
          <xdr:nvSpPr>
            <xdr:cNvPr id="108548" name="Object 4" hidden="1">
              <a:extLst>
                <a:ext uri="{63B3BB69-23CF-44E3-9099-C40C66FF867C}">
                  <a14:compatExt spid="_x0000_s108548"/>
                </a:ext>
              </a:extLst>
            </xdr:cNvPr>
            <xdr:cNvSpPr/>
          </xdr:nvSpPr>
          <xdr:spPr>
            <a:xfrm>
              <a:off x="6877050" y="13792835"/>
              <a:ext cx="590550"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895350</xdr:colOff>
          <xdr:row>42</xdr:row>
          <xdr:rowOff>66675</xdr:rowOff>
        </xdr:from>
        <xdr:to>
          <xdr:col>3</xdr:col>
          <xdr:colOff>1990725</xdr:colOff>
          <xdr:row>42</xdr:row>
          <xdr:rowOff>600075</xdr:rowOff>
        </xdr:to>
        <xdr:sp>
          <xdr:nvSpPr>
            <xdr:cNvPr id="108549" name="Object 5" hidden="1">
              <a:extLst>
                <a:ext uri="{63B3BB69-23CF-44E3-9099-C40C66FF867C}">
                  <a14:compatExt spid="_x0000_s108549"/>
                </a:ext>
              </a:extLst>
            </xdr:cNvPr>
            <xdr:cNvSpPr/>
          </xdr:nvSpPr>
          <xdr:spPr>
            <a:xfrm>
              <a:off x="6619875" y="14410055"/>
              <a:ext cx="1095375" cy="533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1095375</xdr:colOff>
          <xdr:row>43</xdr:row>
          <xdr:rowOff>57150</xdr:rowOff>
        </xdr:from>
        <xdr:to>
          <xdr:col>3</xdr:col>
          <xdr:colOff>1847850</xdr:colOff>
          <xdr:row>43</xdr:row>
          <xdr:rowOff>447675</xdr:rowOff>
        </xdr:to>
        <xdr:sp>
          <xdr:nvSpPr>
            <xdr:cNvPr id="108550" name="Object 6" hidden="1">
              <a:extLst>
                <a:ext uri="{63B3BB69-23CF-44E3-9099-C40C66FF867C}">
                  <a14:compatExt spid="_x0000_s108550"/>
                </a:ext>
              </a:extLst>
            </xdr:cNvPr>
            <xdr:cNvSpPr/>
          </xdr:nvSpPr>
          <xdr:spPr>
            <a:xfrm>
              <a:off x="6819900" y="15074900"/>
              <a:ext cx="75247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51</xdr:row>
          <xdr:rowOff>66675</xdr:rowOff>
        </xdr:from>
        <xdr:to>
          <xdr:col>3</xdr:col>
          <xdr:colOff>1847850</xdr:colOff>
          <xdr:row>51</xdr:row>
          <xdr:rowOff>504825</xdr:rowOff>
        </xdr:to>
        <xdr:sp>
          <xdr:nvSpPr>
            <xdr:cNvPr id="108551" name="Object 7" hidden="1">
              <a:extLst>
                <a:ext uri="{63B3BB69-23CF-44E3-9099-C40C66FF867C}">
                  <a14:compatExt spid="_x0000_s108551"/>
                </a:ext>
              </a:extLst>
            </xdr:cNvPr>
            <xdr:cNvSpPr/>
          </xdr:nvSpPr>
          <xdr:spPr>
            <a:xfrm>
              <a:off x="6686550" y="18345785"/>
              <a:ext cx="885825"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762000</xdr:colOff>
          <xdr:row>52</xdr:row>
          <xdr:rowOff>66675</xdr:rowOff>
        </xdr:from>
        <xdr:to>
          <xdr:col>3</xdr:col>
          <xdr:colOff>1933575</xdr:colOff>
          <xdr:row>52</xdr:row>
          <xdr:rowOff>542925</xdr:rowOff>
        </xdr:to>
        <xdr:sp>
          <xdr:nvSpPr>
            <xdr:cNvPr id="108552" name="Object 8" hidden="1">
              <a:extLst>
                <a:ext uri="{63B3BB69-23CF-44E3-9099-C40C66FF867C}">
                  <a14:compatExt spid="_x0000_s108552"/>
                </a:ext>
              </a:extLst>
            </xdr:cNvPr>
            <xdr:cNvSpPr/>
          </xdr:nvSpPr>
          <xdr:spPr>
            <a:xfrm>
              <a:off x="6486525" y="18929350"/>
              <a:ext cx="1171575"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981075</xdr:colOff>
          <xdr:row>53</xdr:row>
          <xdr:rowOff>66675</xdr:rowOff>
        </xdr:from>
        <xdr:to>
          <xdr:col>3</xdr:col>
          <xdr:colOff>1857375</xdr:colOff>
          <xdr:row>53</xdr:row>
          <xdr:rowOff>514350</xdr:rowOff>
        </xdr:to>
        <xdr:sp>
          <xdr:nvSpPr>
            <xdr:cNvPr id="108553" name="Object 9" hidden="1">
              <a:extLst>
                <a:ext uri="{63B3BB69-23CF-44E3-9099-C40C66FF867C}">
                  <a14:compatExt spid="_x0000_s108553"/>
                </a:ext>
              </a:extLst>
            </xdr:cNvPr>
            <xdr:cNvSpPr/>
          </xdr:nvSpPr>
          <xdr:spPr>
            <a:xfrm>
              <a:off x="6705600" y="19551015"/>
              <a:ext cx="876300" cy="4476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1038225</xdr:colOff>
          <xdr:row>54</xdr:row>
          <xdr:rowOff>85725</xdr:rowOff>
        </xdr:from>
        <xdr:to>
          <xdr:col>3</xdr:col>
          <xdr:colOff>1781175</xdr:colOff>
          <xdr:row>54</xdr:row>
          <xdr:rowOff>514350</xdr:rowOff>
        </xdr:to>
        <xdr:sp>
          <xdr:nvSpPr>
            <xdr:cNvPr id="108554" name="Object 10" hidden="1">
              <a:extLst>
                <a:ext uri="{63B3BB69-23CF-44E3-9099-C40C66FF867C}">
                  <a14:compatExt spid="_x0000_s108554"/>
                </a:ext>
              </a:extLst>
            </xdr:cNvPr>
            <xdr:cNvSpPr/>
          </xdr:nvSpPr>
          <xdr:spPr>
            <a:xfrm>
              <a:off x="6762750" y="20153630"/>
              <a:ext cx="74295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981075</xdr:colOff>
          <xdr:row>55</xdr:row>
          <xdr:rowOff>47625</xdr:rowOff>
        </xdr:from>
        <xdr:to>
          <xdr:col>3</xdr:col>
          <xdr:colOff>1933575</xdr:colOff>
          <xdr:row>55</xdr:row>
          <xdr:rowOff>295275</xdr:rowOff>
        </xdr:to>
        <xdr:sp>
          <xdr:nvSpPr>
            <xdr:cNvPr id="108555" name="Object 11" hidden="1">
              <a:extLst>
                <a:ext uri="{63B3BB69-23CF-44E3-9099-C40C66FF867C}">
                  <a14:compatExt spid="_x0000_s108555"/>
                </a:ext>
              </a:extLst>
            </xdr:cNvPr>
            <xdr:cNvSpPr/>
          </xdr:nvSpPr>
          <xdr:spPr>
            <a:xfrm>
              <a:off x="6705600" y="20713700"/>
              <a:ext cx="952500" cy="247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56</xdr:row>
          <xdr:rowOff>38100</xdr:rowOff>
        </xdr:from>
        <xdr:to>
          <xdr:col>3</xdr:col>
          <xdr:colOff>1885950</xdr:colOff>
          <xdr:row>56</xdr:row>
          <xdr:rowOff>276225</xdr:rowOff>
        </xdr:to>
        <xdr:sp>
          <xdr:nvSpPr>
            <xdr:cNvPr id="108556" name="Object 12" hidden="1">
              <a:extLst>
                <a:ext uri="{63B3BB69-23CF-44E3-9099-C40C66FF867C}">
                  <a14:compatExt spid="_x0000_s108556"/>
                </a:ext>
              </a:extLst>
            </xdr:cNvPr>
            <xdr:cNvSpPr/>
          </xdr:nvSpPr>
          <xdr:spPr>
            <a:xfrm>
              <a:off x="6686550" y="21021040"/>
              <a:ext cx="923925"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857250</xdr:colOff>
          <xdr:row>57</xdr:row>
          <xdr:rowOff>95250</xdr:rowOff>
        </xdr:from>
        <xdr:to>
          <xdr:col>3</xdr:col>
          <xdr:colOff>1819275</xdr:colOff>
          <xdr:row>57</xdr:row>
          <xdr:rowOff>523875</xdr:rowOff>
        </xdr:to>
        <xdr:sp>
          <xdr:nvSpPr>
            <xdr:cNvPr id="108557" name="Object 13" hidden="1">
              <a:extLst>
                <a:ext uri="{63B3BB69-23CF-44E3-9099-C40C66FF867C}">
                  <a14:compatExt spid="_x0000_s108557"/>
                </a:ext>
              </a:extLst>
            </xdr:cNvPr>
            <xdr:cNvSpPr/>
          </xdr:nvSpPr>
          <xdr:spPr>
            <a:xfrm>
              <a:off x="6581775" y="21395055"/>
              <a:ext cx="962025"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933450</xdr:colOff>
          <xdr:row>58</xdr:row>
          <xdr:rowOff>104775</xdr:rowOff>
        </xdr:from>
        <xdr:to>
          <xdr:col>3</xdr:col>
          <xdr:colOff>1704975</xdr:colOff>
          <xdr:row>58</xdr:row>
          <xdr:rowOff>552450</xdr:rowOff>
        </xdr:to>
        <xdr:sp>
          <xdr:nvSpPr>
            <xdr:cNvPr id="108558" name="Object 14" hidden="1">
              <a:extLst>
                <a:ext uri="{63B3BB69-23CF-44E3-9099-C40C66FF867C}">
                  <a14:compatExt spid="_x0000_s108558"/>
                </a:ext>
              </a:extLst>
            </xdr:cNvPr>
            <xdr:cNvSpPr/>
          </xdr:nvSpPr>
          <xdr:spPr>
            <a:xfrm>
              <a:off x="6657975" y="22026245"/>
              <a:ext cx="771525" cy="4476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981075</xdr:colOff>
          <xdr:row>60</xdr:row>
          <xdr:rowOff>104775</xdr:rowOff>
        </xdr:from>
        <xdr:to>
          <xdr:col>3</xdr:col>
          <xdr:colOff>1676400</xdr:colOff>
          <xdr:row>60</xdr:row>
          <xdr:rowOff>523875</xdr:rowOff>
        </xdr:to>
        <xdr:sp>
          <xdr:nvSpPr>
            <xdr:cNvPr id="108559" name="Object 15" hidden="1">
              <a:extLst>
                <a:ext uri="{63B3BB69-23CF-44E3-9099-C40C66FF867C}">
                  <a14:compatExt spid="_x0000_s108559"/>
                </a:ext>
              </a:extLst>
            </xdr:cNvPr>
            <xdr:cNvSpPr/>
          </xdr:nvSpPr>
          <xdr:spPr>
            <a:xfrm>
              <a:off x="6705600" y="22990810"/>
              <a:ext cx="69532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61</xdr:row>
          <xdr:rowOff>85725</xdr:rowOff>
        </xdr:from>
        <xdr:to>
          <xdr:col>3</xdr:col>
          <xdr:colOff>1866900</xdr:colOff>
          <xdr:row>61</xdr:row>
          <xdr:rowOff>533400</xdr:rowOff>
        </xdr:to>
        <xdr:sp>
          <xdr:nvSpPr>
            <xdr:cNvPr id="108560" name="Object 16" hidden="1">
              <a:extLst>
                <a:ext uri="{63B3BB69-23CF-44E3-9099-C40C66FF867C}">
                  <a14:compatExt spid="_x0000_s108560"/>
                </a:ext>
              </a:extLst>
            </xdr:cNvPr>
            <xdr:cNvSpPr/>
          </xdr:nvSpPr>
          <xdr:spPr>
            <a:xfrm>
              <a:off x="6638925" y="23608030"/>
              <a:ext cx="952500" cy="4476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990600</xdr:colOff>
          <xdr:row>62</xdr:row>
          <xdr:rowOff>66675</xdr:rowOff>
        </xdr:from>
        <xdr:to>
          <xdr:col>3</xdr:col>
          <xdr:colOff>1790700</xdr:colOff>
          <xdr:row>62</xdr:row>
          <xdr:rowOff>485775</xdr:rowOff>
        </xdr:to>
        <xdr:sp>
          <xdr:nvSpPr>
            <xdr:cNvPr id="108561" name="Object 17" hidden="1">
              <a:extLst>
                <a:ext uri="{63B3BB69-23CF-44E3-9099-C40C66FF867C}">
                  <a14:compatExt spid="_x0000_s108561"/>
                </a:ext>
              </a:extLst>
            </xdr:cNvPr>
            <xdr:cNvSpPr/>
          </xdr:nvSpPr>
          <xdr:spPr>
            <a:xfrm>
              <a:off x="6715125" y="24198580"/>
              <a:ext cx="8001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63</xdr:row>
          <xdr:rowOff>47625</xdr:rowOff>
        </xdr:from>
        <xdr:to>
          <xdr:col>3</xdr:col>
          <xdr:colOff>2286000</xdr:colOff>
          <xdr:row>63</xdr:row>
          <xdr:rowOff>657225</xdr:rowOff>
        </xdr:to>
        <xdr:sp>
          <xdr:nvSpPr>
            <xdr:cNvPr id="108562" name="Object 18" hidden="1">
              <a:extLst>
                <a:ext uri="{63B3BB69-23CF-44E3-9099-C40C66FF867C}">
                  <a14:compatExt spid="_x0000_s108562"/>
                </a:ext>
              </a:extLst>
            </xdr:cNvPr>
            <xdr:cNvSpPr/>
          </xdr:nvSpPr>
          <xdr:spPr>
            <a:xfrm>
              <a:off x="6153150" y="24739600"/>
              <a:ext cx="1857375" cy="609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447675</xdr:colOff>
          <xdr:row>50</xdr:row>
          <xdr:rowOff>85725</xdr:rowOff>
        </xdr:from>
        <xdr:to>
          <xdr:col>3</xdr:col>
          <xdr:colOff>2638425</xdr:colOff>
          <xdr:row>50</xdr:row>
          <xdr:rowOff>695325</xdr:rowOff>
        </xdr:to>
        <xdr:sp>
          <xdr:nvSpPr>
            <xdr:cNvPr id="108563" name="Object 19" hidden="1">
              <a:extLst>
                <a:ext uri="{63B3BB69-23CF-44E3-9099-C40C66FF867C}">
                  <a14:compatExt spid="_x0000_s108563"/>
                </a:ext>
              </a:extLst>
            </xdr:cNvPr>
            <xdr:cNvSpPr/>
          </xdr:nvSpPr>
          <xdr:spPr>
            <a:xfrm>
              <a:off x="6172200" y="17614265"/>
              <a:ext cx="2190750" cy="609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990600</xdr:colOff>
          <xdr:row>82</xdr:row>
          <xdr:rowOff>38100</xdr:rowOff>
        </xdr:from>
        <xdr:to>
          <xdr:col>3</xdr:col>
          <xdr:colOff>1857375</xdr:colOff>
          <xdr:row>82</xdr:row>
          <xdr:rowOff>523875</xdr:rowOff>
        </xdr:to>
        <xdr:sp>
          <xdr:nvSpPr>
            <xdr:cNvPr id="108564" name="Object 20" hidden="1">
              <a:extLst>
                <a:ext uri="{63B3BB69-23CF-44E3-9099-C40C66FF867C}">
                  <a14:compatExt spid="_x0000_s108564"/>
                </a:ext>
              </a:extLst>
            </xdr:cNvPr>
            <xdr:cNvSpPr/>
          </xdr:nvSpPr>
          <xdr:spPr>
            <a:xfrm>
              <a:off x="6715125" y="33333690"/>
              <a:ext cx="86677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84</xdr:row>
          <xdr:rowOff>85725</xdr:rowOff>
        </xdr:from>
        <xdr:to>
          <xdr:col>3</xdr:col>
          <xdr:colOff>1895475</xdr:colOff>
          <xdr:row>84</xdr:row>
          <xdr:rowOff>523875</xdr:rowOff>
        </xdr:to>
        <xdr:sp>
          <xdr:nvSpPr>
            <xdr:cNvPr id="108565" name="Object 21" hidden="1">
              <a:extLst>
                <a:ext uri="{63B3BB69-23CF-44E3-9099-C40C66FF867C}">
                  <a14:compatExt spid="_x0000_s108565"/>
                </a:ext>
              </a:extLst>
            </xdr:cNvPr>
            <xdr:cNvSpPr/>
          </xdr:nvSpPr>
          <xdr:spPr>
            <a:xfrm>
              <a:off x="6638925" y="34563050"/>
              <a:ext cx="981075"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552450</xdr:colOff>
          <xdr:row>87</xdr:row>
          <xdr:rowOff>57150</xdr:rowOff>
        </xdr:from>
        <xdr:to>
          <xdr:col>3</xdr:col>
          <xdr:colOff>2381250</xdr:colOff>
          <xdr:row>87</xdr:row>
          <xdr:rowOff>542925</xdr:rowOff>
        </xdr:to>
        <xdr:sp>
          <xdr:nvSpPr>
            <xdr:cNvPr id="108566" name="Object 22" hidden="1">
              <a:extLst>
                <a:ext uri="{63B3BB69-23CF-44E3-9099-C40C66FF867C}">
                  <a14:compatExt spid="_x0000_s108566"/>
                </a:ext>
              </a:extLst>
            </xdr:cNvPr>
            <xdr:cNvSpPr/>
          </xdr:nvSpPr>
          <xdr:spPr>
            <a:xfrm>
              <a:off x="6276975" y="36443285"/>
              <a:ext cx="182880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83</xdr:row>
          <xdr:rowOff>104775</xdr:rowOff>
        </xdr:from>
        <xdr:to>
          <xdr:col>3</xdr:col>
          <xdr:colOff>1752600</xdr:colOff>
          <xdr:row>83</xdr:row>
          <xdr:rowOff>542925</xdr:rowOff>
        </xdr:to>
        <xdr:sp>
          <xdr:nvSpPr>
            <xdr:cNvPr id="108567" name="Object 23" hidden="1">
              <a:extLst>
                <a:ext uri="{63B3BB69-23CF-44E3-9099-C40C66FF867C}">
                  <a14:compatExt spid="_x0000_s108567"/>
                </a:ext>
              </a:extLst>
            </xdr:cNvPr>
            <xdr:cNvSpPr/>
          </xdr:nvSpPr>
          <xdr:spPr>
            <a:xfrm>
              <a:off x="6686550" y="33983930"/>
              <a:ext cx="790575"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88</xdr:row>
          <xdr:rowOff>85725</xdr:rowOff>
        </xdr:from>
        <xdr:to>
          <xdr:col>3</xdr:col>
          <xdr:colOff>3048000</xdr:colOff>
          <xdr:row>88</xdr:row>
          <xdr:rowOff>1028700</xdr:rowOff>
        </xdr:to>
        <xdr:sp>
          <xdr:nvSpPr>
            <xdr:cNvPr id="108568" name="Object 24" hidden="1">
              <a:extLst>
                <a:ext uri="{63B3BB69-23CF-44E3-9099-C40C66FF867C}">
                  <a14:compatExt spid="_x0000_s108568"/>
                </a:ext>
              </a:extLst>
            </xdr:cNvPr>
            <xdr:cNvSpPr/>
          </xdr:nvSpPr>
          <xdr:spPr>
            <a:xfrm>
              <a:off x="5829300" y="37070030"/>
              <a:ext cx="2943225" cy="942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981075</xdr:colOff>
          <xdr:row>89</xdr:row>
          <xdr:rowOff>66675</xdr:rowOff>
        </xdr:from>
        <xdr:to>
          <xdr:col>3</xdr:col>
          <xdr:colOff>1638300</xdr:colOff>
          <xdr:row>89</xdr:row>
          <xdr:rowOff>466725</xdr:rowOff>
        </xdr:to>
        <xdr:sp>
          <xdr:nvSpPr>
            <xdr:cNvPr id="108569" name="Object 25" hidden="1">
              <a:extLst>
                <a:ext uri="{63B3BB69-23CF-44E3-9099-C40C66FF867C}">
                  <a14:compatExt spid="_x0000_s108569"/>
                </a:ext>
              </a:extLst>
            </xdr:cNvPr>
            <xdr:cNvSpPr/>
          </xdr:nvSpPr>
          <xdr:spPr>
            <a:xfrm>
              <a:off x="6705600" y="38182550"/>
              <a:ext cx="657225"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885825</xdr:colOff>
          <xdr:row>90</xdr:row>
          <xdr:rowOff>76200</xdr:rowOff>
        </xdr:from>
        <xdr:to>
          <xdr:col>3</xdr:col>
          <xdr:colOff>1800225</xdr:colOff>
          <xdr:row>90</xdr:row>
          <xdr:rowOff>504825</xdr:rowOff>
        </xdr:to>
        <xdr:sp>
          <xdr:nvSpPr>
            <xdr:cNvPr id="108570" name="Object 26" hidden="1">
              <a:extLst>
                <a:ext uri="{63B3BB69-23CF-44E3-9099-C40C66FF867C}">
                  <a14:compatExt spid="_x0000_s108570"/>
                </a:ext>
              </a:extLst>
            </xdr:cNvPr>
            <xdr:cNvSpPr/>
          </xdr:nvSpPr>
          <xdr:spPr>
            <a:xfrm>
              <a:off x="6610350" y="38699440"/>
              <a:ext cx="9144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904875</xdr:colOff>
          <xdr:row>91</xdr:row>
          <xdr:rowOff>76200</xdr:rowOff>
        </xdr:from>
        <xdr:to>
          <xdr:col>3</xdr:col>
          <xdr:colOff>1800225</xdr:colOff>
          <xdr:row>91</xdr:row>
          <xdr:rowOff>561975</xdr:rowOff>
        </xdr:to>
        <xdr:sp>
          <xdr:nvSpPr>
            <xdr:cNvPr id="108571" name="Object 27" hidden="1">
              <a:extLst>
                <a:ext uri="{63B3BB69-23CF-44E3-9099-C40C66FF867C}">
                  <a14:compatExt spid="_x0000_s108571"/>
                </a:ext>
              </a:extLst>
            </xdr:cNvPr>
            <xdr:cNvSpPr/>
          </xdr:nvSpPr>
          <xdr:spPr>
            <a:xfrm>
              <a:off x="6629400" y="39283005"/>
              <a:ext cx="89535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94</xdr:row>
          <xdr:rowOff>95250</xdr:rowOff>
        </xdr:from>
        <xdr:to>
          <xdr:col>3</xdr:col>
          <xdr:colOff>2009775</xdr:colOff>
          <xdr:row>94</xdr:row>
          <xdr:rowOff>581025</xdr:rowOff>
        </xdr:to>
        <xdr:sp>
          <xdr:nvSpPr>
            <xdr:cNvPr id="108572" name="Object 28" hidden="1">
              <a:extLst>
                <a:ext uri="{63B3BB69-23CF-44E3-9099-C40C66FF867C}">
                  <a14:compatExt spid="_x0000_s108572"/>
                </a:ext>
              </a:extLst>
            </xdr:cNvPr>
            <xdr:cNvSpPr/>
          </xdr:nvSpPr>
          <xdr:spPr>
            <a:xfrm>
              <a:off x="6553200" y="40621585"/>
              <a:ext cx="118110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885825</xdr:colOff>
          <xdr:row>95</xdr:row>
          <xdr:rowOff>76200</xdr:rowOff>
        </xdr:from>
        <xdr:to>
          <xdr:col>3</xdr:col>
          <xdr:colOff>1876425</xdr:colOff>
          <xdr:row>95</xdr:row>
          <xdr:rowOff>504825</xdr:rowOff>
        </xdr:to>
        <xdr:sp>
          <xdr:nvSpPr>
            <xdr:cNvPr id="108573" name="Object 29" hidden="1">
              <a:extLst>
                <a:ext uri="{63B3BB69-23CF-44E3-9099-C40C66FF867C}">
                  <a14:compatExt spid="_x0000_s108573"/>
                </a:ext>
              </a:extLst>
            </xdr:cNvPr>
            <xdr:cNvSpPr/>
          </xdr:nvSpPr>
          <xdr:spPr>
            <a:xfrm>
              <a:off x="6610350" y="41238805"/>
              <a:ext cx="9906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666750</xdr:colOff>
          <xdr:row>96</xdr:row>
          <xdr:rowOff>104775</xdr:rowOff>
        </xdr:from>
        <xdr:to>
          <xdr:col>3</xdr:col>
          <xdr:colOff>2085975</xdr:colOff>
          <xdr:row>96</xdr:row>
          <xdr:rowOff>352425</xdr:rowOff>
        </xdr:to>
        <xdr:sp>
          <xdr:nvSpPr>
            <xdr:cNvPr id="108574" name="Object 30" hidden="1">
              <a:extLst>
                <a:ext uri="{63B3BB69-23CF-44E3-9099-C40C66FF867C}">
                  <a14:compatExt spid="_x0000_s108574"/>
                </a:ext>
              </a:extLst>
            </xdr:cNvPr>
            <xdr:cNvSpPr/>
          </xdr:nvSpPr>
          <xdr:spPr>
            <a:xfrm>
              <a:off x="6391275" y="41850945"/>
              <a:ext cx="1419225" cy="247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447675</xdr:colOff>
          <xdr:row>97</xdr:row>
          <xdr:rowOff>66675</xdr:rowOff>
        </xdr:from>
        <xdr:to>
          <xdr:col>3</xdr:col>
          <xdr:colOff>2571750</xdr:colOff>
          <xdr:row>97</xdr:row>
          <xdr:rowOff>581025</xdr:rowOff>
        </xdr:to>
        <xdr:sp>
          <xdr:nvSpPr>
            <xdr:cNvPr id="108575" name="Object 31" hidden="1">
              <a:extLst>
                <a:ext uri="{63B3BB69-23CF-44E3-9099-C40C66FF867C}">
                  <a14:compatExt spid="_x0000_s108575"/>
                </a:ext>
              </a:extLst>
            </xdr:cNvPr>
            <xdr:cNvSpPr/>
          </xdr:nvSpPr>
          <xdr:spPr>
            <a:xfrm>
              <a:off x="6172200" y="42244010"/>
              <a:ext cx="2124075" cy="5143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1038225</xdr:colOff>
          <xdr:row>100</xdr:row>
          <xdr:rowOff>104775</xdr:rowOff>
        </xdr:from>
        <xdr:to>
          <xdr:col>3</xdr:col>
          <xdr:colOff>1743075</xdr:colOff>
          <xdr:row>100</xdr:row>
          <xdr:rowOff>333375</xdr:rowOff>
        </xdr:to>
        <xdr:sp>
          <xdr:nvSpPr>
            <xdr:cNvPr id="108576" name="Object 32" hidden="1">
              <a:extLst>
                <a:ext uri="{63B3BB69-23CF-44E3-9099-C40C66FF867C}">
                  <a14:compatExt spid="_x0000_s108576"/>
                </a:ext>
              </a:extLst>
            </xdr:cNvPr>
            <xdr:cNvSpPr/>
          </xdr:nvSpPr>
          <xdr:spPr>
            <a:xfrm>
              <a:off x="6762750" y="43628310"/>
              <a:ext cx="70485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685800</xdr:colOff>
          <xdr:row>101</xdr:row>
          <xdr:rowOff>76200</xdr:rowOff>
        </xdr:from>
        <xdr:to>
          <xdr:col>3</xdr:col>
          <xdr:colOff>2219325</xdr:colOff>
          <xdr:row>101</xdr:row>
          <xdr:rowOff>581025</xdr:rowOff>
        </xdr:to>
        <xdr:sp>
          <xdr:nvSpPr>
            <xdr:cNvPr id="108577" name="Object 33" hidden="1">
              <a:extLst>
                <a:ext uri="{63B3BB69-23CF-44E3-9099-C40C66FF867C}">
                  <a14:compatExt spid="_x0000_s108577"/>
                </a:ext>
              </a:extLst>
            </xdr:cNvPr>
            <xdr:cNvSpPr/>
          </xdr:nvSpPr>
          <xdr:spPr>
            <a:xfrm>
              <a:off x="6410325" y="44018835"/>
              <a:ext cx="1533525"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1038225</xdr:colOff>
          <xdr:row>102</xdr:row>
          <xdr:rowOff>57150</xdr:rowOff>
        </xdr:from>
        <xdr:to>
          <xdr:col>3</xdr:col>
          <xdr:colOff>1838325</xdr:colOff>
          <xdr:row>102</xdr:row>
          <xdr:rowOff>542925</xdr:rowOff>
        </xdr:to>
        <xdr:sp>
          <xdr:nvSpPr>
            <xdr:cNvPr id="108578" name="Object 34" hidden="1">
              <a:extLst>
                <a:ext uri="{63B3BB69-23CF-44E3-9099-C40C66FF867C}">
                  <a14:compatExt spid="_x0000_s108578"/>
                </a:ext>
              </a:extLst>
            </xdr:cNvPr>
            <xdr:cNvSpPr/>
          </xdr:nvSpPr>
          <xdr:spPr>
            <a:xfrm>
              <a:off x="6762750" y="44659550"/>
              <a:ext cx="80010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590550</xdr:colOff>
          <xdr:row>103</xdr:row>
          <xdr:rowOff>57150</xdr:rowOff>
        </xdr:from>
        <xdr:to>
          <xdr:col>3</xdr:col>
          <xdr:colOff>2343150</xdr:colOff>
          <xdr:row>103</xdr:row>
          <xdr:rowOff>619125</xdr:rowOff>
        </xdr:to>
        <xdr:sp>
          <xdr:nvSpPr>
            <xdr:cNvPr id="108579" name="Object 35" hidden="1">
              <a:extLst>
                <a:ext uri="{63B3BB69-23CF-44E3-9099-C40C66FF867C}">
                  <a14:compatExt spid="_x0000_s108579"/>
                </a:ext>
              </a:extLst>
            </xdr:cNvPr>
            <xdr:cNvSpPr/>
          </xdr:nvSpPr>
          <xdr:spPr>
            <a:xfrm>
              <a:off x="6315075" y="45231050"/>
              <a:ext cx="1752600" cy="561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1057275</xdr:colOff>
          <xdr:row>105</xdr:row>
          <xdr:rowOff>66675</xdr:rowOff>
        </xdr:from>
        <xdr:to>
          <xdr:col>3</xdr:col>
          <xdr:colOff>1743075</xdr:colOff>
          <xdr:row>105</xdr:row>
          <xdr:rowOff>495300</xdr:rowOff>
        </xdr:to>
        <xdr:sp>
          <xdr:nvSpPr>
            <xdr:cNvPr id="108580" name="Object 36" hidden="1">
              <a:extLst>
                <a:ext uri="{63B3BB69-23CF-44E3-9099-C40C66FF867C}">
                  <a14:compatExt spid="_x0000_s108580"/>
                </a:ext>
              </a:extLst>
            </xdr:cNvPr>
            <xdr:cNvSpPr/>
          </xdr:nvSpPr>
          <xdr:spPr>
            <a:xfrm>
              <a:off x="6781800" y="46535975"/>
              <a:ext cx="6858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106</xdr:row>
          <xdr:rowOff>66675</xdr:rowOff>
        </xdr:from>
        <xdr:to>
          <xdr:col>3</xdr:col>
          <xdr:colOff>1914525</xdr:colOff>
          <xdr:row>106</xdr:row>
          <xdr:rowOff>333375</xdr:rowOff>
        </xdr:to>
        <xdr:sp>
          <xdr:nvSpPr>
            <xdr:cNvPr id="108581" name="Object 37" hidden="1">
              <a:extLst>
                <a:ext uri="{63B3BB69-23CF-44E3-9099-C40C66FF867C}">
                  <a14:compatExt spid="_x0000_s108581"/>
                </a:ext>
              </a:extLst>
            </xdr:cNvPr>
            <xdr:cNvSpPr/>
          </xdr:nvSpPr>
          <xdr:spPr>
            <a:xfrm>
              <a:off x="6467475" y="47096045"/>
              <a:ext cx="1171575" cy="266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1066800</xdr:colOff>
          <xdr:row>108</xdr:row>
          <xdr:rowOff>38100</xdr:rowOff>
        </xdr:from>
        <xdr:to>
          <xdr:col>3</xdr:col>
          <xdr:colOff>1781175</xdr:colOff>
          <xdr:row>108</xdr:row>
          <xdr:rowOff>466725</xdr:rowOff>
        </xdr:to>
        <xdr:sp>
          <xdr:nvSpPr>
            <xdr:cNvPr id="108582" name="Object 38" hidden="1">
              <a:extLst>
                <a:ext uri="{63B3BB69-23CF-44E3-9099-C40C66FF867C}">
                  <a14:compatExt spid="_x0000_s108582"/>
                </a:ext>
              </a:extLst>
            </xdr:cNvPr>
            <xdr:cNvSpPr/>
          </xdr:nvSpPr>
          <xdr:spPr>
            <a:xfrm>
              <a:off x="6791325" y="48019970"/>
              <a:ext cx="714375"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1019175</xdr:colOff>
          <xdr:row>111</xdr:row>
          <xdr:rowOff>38100</xdr:rowOff>
        </xdr:from>
        <xdr:to>
          <xdr:col>3</xdr:col>
          <xdr:colOff>1838325</xdr:colOff>
          <xdr:row>111</xdr:row>
          <xdr:rowOff>466725</xdr:rowOff>
        </xdr:to>
        <xdr:sp>
          <xdr:nvSpPr>
            <xdr:cNvPr id="108583" name="Object 39" hidden="1">
              <a:extLst>
                <a:ext uri="{63B3BB69-23CF-44E3-9099-C40C66FF867C}">
                  <a14:compatExt spid="_x0000_s108583"/>
                </a:ext>
              </a:extLst>
            </xdr:cNvPr>
            <xdr:cNvSpPr/>
          </xdr:nvSpPr>
          <xdr:spPr>
            <a:xfrm>
              <a:off x="6743700" y="49415700"/>
              <a:ext cx="81915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1038225</xdr:colOff>
          <xdr:row>112</xdr:row>
          <xdr:rowOff>57150</xdr:rowOff>
        </xdr:from>
        <xdr:to>
          <xdr:col>3</xdr:col>
          <xdr:colOff>1809750</xdr:colOff>
          <xdr:row>112</xdr:row>
          <xdr:rowOff>514350</xdr:rowOff>
        </xdr:to>
        <xdr:sp>
          <xdr:nvSpPr>
            <xdr:cNvPr id="108584" name="Object 40" hidden="1">
              <a:extLst>
                <a:ext uri="{63B3BB69-23CF-44E3-9099-C40C66FF867C}">
                  <a14:compatExt spid="_x0000_s108584"/>
                </a:ext>
              </a:extLst>
            </xdr:cNvPr>
            <xdr:cNvSpPr/>
          </xdr:nvSpPr>
          <xdr:spPr>
            <a:xfrm>
              <a:off x="6762750" y="49956720"/>
              <a:ext cx="77152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476250</xdr:colOff>
          <xdr:row>113</xdr:row>
          <xdr:rowOff>66675</xdr:rowOff>
        </xdr:from>
        <xdr:to>
          <xdr:col>3</xdr:col>
          <xdr:colOff>2276475</xdr:colOff>
          <xdr:row>113</xdr:row>
          <xdr:rowOff>571500</xdr:rowOff>
        </xdr:to>
        <xdr:sp>
          <xdr:nvSpPr>
            <xdr:cNvPr id="108585" name="Object 41" hidden="1">
              <a:extLst>
                <a:ext uri="{63B3BB69-23CF-44E3-9099-C40C66FF867C}">
                  <a14:compatExt spid="_x0000_s108585"/>
                </a:ext>
              </a:extLst>
            </xdr:cNvPr>
            <xdr:cNvSpPr/>
          </xdr:nvSpPr>
          <xdr:spPr>
            <a:xfrm>
              <a:off x="6200775" y="50575845"/>
              <a:ext cx="1800225"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952500</xdr:colOff>
          <xdr:row>117</xdr:row>
          <xdr:rowOff>85725</xdr:rowOff>
        </xdr:from>
        <xdr:to>
          <xdr:col>3</xdr:col>
          <xdr:colOff>1762125</xdr:colOff>
          <xdr:row>117</xdr:row>
          <xdr:rowOff>314325</xdr:rowOff>
        </xdr:to>
        <xdr:sp>
          <xdr:nvSpPr>
            <xdr:cNvPr id="108586" name="Object 42" hidden="1">
              <a:extLst>
                <a:ext uri="{63B3BB69-23CF-44E3-9099-C40C66FF867C}">
                  <a14:compatExt spid="_x0000_s108586"/>
                </a:ext>
              </a:extLst>
            </xdr:cNvPr>
            <xdr:cNvSpPr/>
          </xdr:nvSpPr>
          <xdr:spPr>
            <a:xfrm>
              <a:off x="6677025" y="52656105"/>
              <a:ext cx="80962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1095375</xdr:colOff>
          <xdr:row>116</xdr:row>
          <xdr:rowOff>38100</xdr:rowOff>
        </xdr:from>
        <xdr:to>
          <xdr:col>3</xdr:col>
          <xdr:colOff>1724025</xdr:colOff>
          <xdr:row>116</xdr:row>
          <xdr:rowOff>466725</xdr:rowOff>
        </xdr:to>
        <xdr:sp>
          <xdr:nvSpPr>
            <xdr:cNvPr id="108587" name="Object 43" hidden="1">
              <a:extLst>
                <a:ext uri="{63B3BB69-23CF-44E3-9099-C40C66FF867C}">
                  <a14:compatExt spid="_x0000_s108587"/>
                </a:ext>
              </a:extLst>
            </xdr:cNvPr>
            <xdr:cNvSpPr/>
          </xdr:nvSpPr>
          <xdr:spPr>
            <a:xfrm>
              <a:off x="6819900" y="52086510"/>
              <a:ext cx="62865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118</xdr:row>
          <xdr:rowOff>47625</xdr:rowOff>
        </xdr:from>
        <xdr:to>
          <xdr:col>3</xdr:col>
          <xdr:colOff>2390775</xdr:colOff>
          <xdr:row>118</xdr:row>
          <xdr:rowOff>523875</xdr:rowOff>
        </xdr:to>
        <xdr:sp>
          <xdr:nvSpPr>
            <xdr:cNvPr id="108588" name="Object 44" hidden="1">
              <a:extLst>
                <a:ext uri="{63B3BB69-23CF-44E3-9099-C40C66FF867C}">
                  <a14:compatExt spid="_x0000_s108588"/>
                </a:ext>
              </a:extLst>
            </xdr:cNvPr>
            <xdr:cNvSpPr/>
          </xdr:nvSpPr>
          <xdr:spPr>
            <a:xfrm>
              <a:off x="6229350" y="52987575"/>
              <a:ext cx="1885950"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119</xdr:row>
          <xdr:rowOff>57150</xdr:rowOff>
        </xdr:from>
        <xdr:to>
          <xdr:col>3</xdr:col>
          <xdr:colOff>2847975</xdr:colOff>
          <xdr:row>119</xdr:row>
          <xdr:rowOff>942975</xdr:rowOff>
        </xdr:to>
        <xdr:sp>
          <xdr:nvSpPr>
            <xdr:cNvPr id="108589" name="Object 45" hidden="1">
              <a:extLst>
                <a:ext uri="{63B3BB69-23CF-44E3-9099-C40C66FF867C}">
                  <a14:compatExt spid="_x0000_s108589"/>
                </a:ext>
              </a:extLst>
            </xdr:cNvPr>
            <xdr:cNvSpPr/>
          </xdr:nvSpPr>
          <xdr:spPr>
            <a:xfrm>
              <a:off x="5848350" y="53580665"/>
              <a:ext cx="2724150" cy="885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120</xdr:row>
          <xdr:rowOff>66675</xdr:rowOff>
        </xdr:from>
        <xdr:to>
          <xdr:col>3</xdr:col>
          <xdr:colOff>2943225</xdr:colOff>
          <xdr:row>120</xdr:row>
          <xdr:rowOff>552450</xdr:rowOff>
        </xdr:to>
        <xdr:sp>
          <xdr:nvSpPr>
            <xdr:cNvPr id="108590" name="Object 46" hidden="1">
              <a:extLst>
                <a:ext uri="{63B3BB69-23CF-44E3-9099-C40C66FF867C}">
                  <a14:compatExt spid="_x0000_s108590"/>
                </a:ext>
              </a:extLst>
            </xdr:cNvPr>
            <xdr:cNvSpPr/>
          </xdr:nvSpPr>
          <xdr:spPr>
            <a:xfrm>
              <a:off x="5829300" y="54592855"/>
              <a:ext cx="283845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466725</xdr:colOff>
          <xdr:row>121</xdr:row>
          <xdr:rowOff>104775</xdr:rowOff>
        </xdr:from>
        <xdr:to>
          <xdr:col>3</xdr:col>
          <xdr:colOff>2371725</xdr:colOff>
          <xdr:row>121</xdr:row>
          <xdr:rowOff>352425</xdr:rowOff>
        </xdr:to>
        <xdr:sp>
          <xdr:nvSpPr>
            <xdr:cNvPr id="108591" name="Object 47" hidden="1">
              <a:extLst>
                <a:ext uri="{63B3BB69-23CF-44E3-9099-C40C66FF867C}">
                  <a14:compatExt spid="_x0000_s108591"/>
                </a:ext>
              </a:extLst>
            </xdr:cNvPr>
            <xdr:cNvSpPr/>
          </xdr:nvSpPr>
          <xdr:spPr>
            <a:xfrm>
              <a:off x="6191250" y="55267225"/>
              <a:ext cx="1905000" cy="247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65</xdr:row>
          <xdr:rowOff>47625</xdr:rowOff>
        </xdr:from>
        <xdr:to>
          <xdr:col>3</xdr:col>
          <xdr:colOff>1952625</xdr:colOff>
          <xdr:row>65</xdr:row>
          <xdr:rowOff>323850</xdr:rowOff>
        </xdr:to>
        <xdr:sp>
          <xdr:nvSpPr>
            <xdr:cNvPr id="108592" name="Object 48" hidden="1">
              <a:extLst>
                <a:ext uri="{63B3BB69-23CF-44E3-9099-C40C66FF867C}">
                  <a14:compatExt spid="_x0000_s108592"/>
                </a:ext>
              </a:extLst>
            </xdr:cNvPr>
            <xdr:cNvSpPr/>
          </xdr:nvSpPr>
          <xdr:spPr>
            <a:xfrm>
              <a:off x="6553200" y="25754330"/>
              <a:ext cx="1123950" cy="276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762000</xdr:colOff>
          <xdr:row>66</xdr:row>
          <xdr:rowOff>76200</xdr:rowOff>
        </xdr:from>
        <xdr:to>
          <xdr:col>3</xdr:col>
          <xdr:colOff>2314575</xdr:colOff>
          <xdr:row>66</xdr:row>
          <xdr:rowOff>561975</xdr:rowOff>
        </xdr:to>
        <xdr:sp>
          <xdr:nvSpPr>
            <xdr:cNvPr id="108593" name="Object 49" hidden="1">
              <a:extLst>
                <a:ext uri="{63B3BB69-23CF-44E3-9099-C40C66FF867C}">
                  <a14:compatExt spid="_x0000_s108593"/>
                </a:ext>
              </a:extLst>
            </xdr:cNvPr>
            <xdr:cNvSpPr/>
          </xdr:nvSpPr>
          <xdr:spPr>
            <a:xfrm>
              <a:off x="6486525" y="26125805"/>
              <a:ext cx="155257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67</xdr:row>
          <xdr:rowOff>47625</xdr:rowOff>
        </xdr:from>
        <xdr:to>
          <xdr:col>3</xdr:col>
          <xdr:colOff>1962150</xdr:colOff>
          <xdr:row>67</xdr:row>
          <xdr:rowOff>523875</xdr:rowOff>
        </xdr:to>
        <xdr:sp>
          <xdr:nvSpPr>
            <xdr:cNvPr id="108594" name="Object 50" hidden="1">
              <a:extLst>
                <a:ext uri="{63B3BB69-23CF-44E3-9099-C40C66FF867C}">
                  <a14:compatExt spid="_x0000_s108594"/>
                </a:ext>
              </a:extLst>
            </xdr:cNvPr>
            <xdr:cNvSpPr/>
          </xdr:nvSpPr>
          <xdr:spPr>
            <a:xfrm>
              <a:off x="6686550" y="26706830"/>
              <a:ext cx="1000125"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69</xdr:row>
          <xdr:rowOff>47625</xdr:rowOff>
        </xdr:from>
        <xdr:to>
          <xdr:col>3</xdr:col>
          <xdr:colOff>1914525</xdr:colOff>
          <xdr:row>69</xdr:row>
          <xdr:rowOff>323850</xdr:rowOff>
        </xdr:to>
        <xdr:sp>
          <xdr:nvSpPr>
            <xdr:cNvPr id="108595" name="Object 51" hidden="1">
              <a:extLst>
                <a:ext uri="{63B3BB69-23CF-44E3-9099-C40C66FF867C}">
                  <a14:compatExt spid="_x0000_s108595"/>
                </a:ext>
              </a:extLst>
            </xdr:cNvPr>
            <xdr:cNvSpPr/>
          </xdr:nvSpPr>
          <xdr:spPr>
            <a:xfrm>
              <a:off x="6553200" y="27607260"/>
              <a:ext cx="1085850" cy="276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70</xdr:row>
          <xdr:rowOff>38100</xdr:rowOff>
        </xdr:from>
        <xdr:to>
          <xdr:col>3</xdr:col>
          <xdr:colOff>1800225</xdr:colOff>
          <xdr:row>70</xdr:row>
          <xdr:rowOff>266700</xdr:rowOff>
        </xdr:to>
        <xdr:sp>
          <xdr:nvSpPr>
            <xdr:cNvPr id="108596" name="Object 52" hidden="1">
              <a:extLst>
                <a:ext uri="{63B3BB69-23CF-44E3-9099-C40C66FF867C}">
                  <a14:compatExt spid="_x0000_s108596"/>
                </a:ext>
              </a:extLst>
            </xdr:cNvPr>
            <xdr:cNvSpPr/>
          </xdr:nvSpPr>
          <xdr:spPr>
            <a:xfrm>
              <a:off x="6686550" y="27940635"/>
              <a:ext cx="8382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75</xdr:row>
          <xdr:rowOff>57150</xdr:rowOff>
        </xdr:from>
        <xdr:to>
          <xdr:col>3</xdr:col>
          <xdr:colOff>2143125</xdr:colOff>
          <xdr:row>75</xdr:row>
          <xdr:rowOff>552450</xdr:rowOff>
        </xdr:to>
        <xdr:sp>
          <xdr:nvSpPr>
            <xdr:cNvPr id="108597" name="Object 53" hidden="1">
              <a:extLst>
                <a:ext uri="{63B3BB69-23CF-44E3-9099-C40C66FF867C}">
                  <a14:compatExt spid="_x0000_s108597"/>
                </a:ext>
              </a:extLst>
            </xdr:cNvPr>
            <xdr:cNvSpPr/>
          </xdr:nvSpPr>
          <xdr:spPr>
            <a:xfrm>
              <a:off x="6553200" y="30065345"/>
              <a:ext cx="1314450" cy="4953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647700</xdr:colOff>
          <xdr:row>77</xdr:row>
          <xdr:rowOff>47625</xdr:rowOff>
        </xdr:from>
        <xdr:to>
          <xdr:col>3</xdr:col>
          <xdr:colOff>2247900</xdr:colOff>
          <xdr:row>77</xdr:row>
          <xdr:rowOff>523875</xdr:rowOff>
        </xdr:to>
        <xdr:sp>
          <xdr:nvSpPr>
            <xdr:cNvPr id="108598" name="Object 54" hidden="1">
              <a:extLst>
                <a:ext uri="{63B3BB69-23CF-44E3-9099-C40C66FF867C}">
                  <a14:compatExt spid="_x0000_s108598"/>
                </a:ext>
              </a:extLst>
            </xdr:cNvPr>
            <xdr:cNvSpPr/>
          </xdr:nvSpPr>
          <xdr:spPr>
            <a:xfrm>
              <a:off x="6372225" y="30956250"/>
              <a:ext cx="1600200"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73</xdr:row>
          <xdr:rowOff>85725</xdr:rowOff>
        </xdr:from>
        <xdr:to>
          <xdr:col>3</xdr:col>
          <xdr:colOff>2276475</xdr:colOff>
          <xdr:row>73</xdr:row>
          <xdr:rowOff>514350</xdr:rowOff>
        </xdr:to>
        <xdr:sp>
          <xdr:nvSpPr>
            <xdr:cNvPr id="108599" name="Object 55" hidden="1">
              <a:extLst>
                <a:ext uri="{63B3BB69-23CF-44E3-9099-C40C66FF867C}">
                  <a14:compatExt spid="_x0000_s108599"/>
                </a:ext>
              </a:extLst>
            </xdr:cNvPr>
            <xdr:cNvSpPr/>
          </xdr:nvSpPr>
          <xdr:spPr>
            <a:xfrm>
              <a:off x="6553200" y="29205555"/>
              <a:ext cx="14478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74</xdr:row>
          <xdr:rowOff>38100</xdr:rowOff>
        </xdr:from>
        <xdr:to>
          <xdr:col>3</xdr:col>
          <xdr:colOff>1809750</xdr:colOff>
          <xdr:row>74</xdr:row>
          <xdr:rowOff>266700</xdr:rowOff>
        </xdr:to>
        <xdr:sp>
          <xdr:nvSpPr>
            <xdr:cNvPr id="108600" name="Object 56" hidden="1">
              <a:extLst>
                <a:ext uri="{63B3BB69-23CF-44E3-9099-C40C66FF867C}">
                  <a14:compatExt spid="_x0000_s108600"/>
                </a:ext>
              </a:extLst>
            </xdr:cNvPr>
            <xdr:cNvSpPr/>
          </xdr:nvSpPr>
          <xdr:spPr>
            <a:xfrm>
              <a:off x="6686550" y="29729430"/>
              <a:ext cx="84772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71</xdr:row>
          <xdr:rowOff>47625</xdr:rowOff>
        </xdr:from>
        <xdr:to>
          <xdr:col>3</xdr:col>
          <xdr:colOff>1962150</xdr:colOff>
          <xdr:row>71</xdr:row>
          <xdr:rowOff>523875</xdr:rowOff>
        </xdr:to>
        <xdr:sp>
          <xdr:nvSpPr>
            <xdr:cNvPr id="108601" name="Object 57" hidden="1">
              <a:extLst>
                <a:ext uri="{63B3BB69-23CF-44E3-9099-C40C66FF867C}">
                  <a14:compatExt spid="_x0000_s108601"/>
                </a:ext>
              </a:extLst>
            </xdr:cNvPr>
            <xdr:cNvSpPr/>
          </xdr:nvSpPr>
          <xdr:spPr>
            <a:xfrm>
              <a:off x="6686550" y="28267025"/>
              <a:ext cx="1000125"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78</xdr:row>
          <xdr:rowOff>57150</xdr:rowOff>
        </xdr:from>
        <xdr:to>
          <xdr:col>3</xdr:col>
          <xdr:colOff>2276475</xdr:colOff>
          <xdr:row>78</xdr:row>
          <xdr:rowOff>485775</xdr:rowOff>
        </xdr:to>
        <xdr:sp>
          <xdr:nvSpPr>
            <xdr:cNvPr id="108602" name="Object 58" hidden="1">
              <a:extLst>
                <a:ext uri="{63B3BB69-23CF-44E3-9099-C40C66FF867C}">
                  <a14:compatExt spid="_x0000_s108602"/>
                </a:ext>
              </a:extLst>
            </xdr:cNvPr>
            <xdr:cNvSpPr/>
          </xdr:nvSpPr>
          <xdr:spPr>
            <a:xfrm>
              <a:off x="6515100" y="31563945"/>
              <a:ext cx="1485900" cy="428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79</xdr:row>
          <xdr:rowOff>38100</xdr:rowOff>
        </xdr:from>
        <xdr:to>
          <xdr:col>3</xdr:col>
          <xdr:colOff>1800225</xdr:colOff>
          <xdr:row>79</xdr:row>
          <xdr:rowOff>266700</xdr:rowOff>
        </xdr:to>
        <xdr:sp>
          <xdr:nvSpPr>
            <xdr:cNvPr id="108603" name="Object 59" hidden="1">
              <a:extLst>
                <a:ext uri="{63B3BB69-23CF-44E3-9099-C40C66FF867C}">
                  <a14:compatExt spid="_x0000_s108603"/>
                </a:ext>
              </a:extLst>
            </xdr:cNvPr>
            <xdr:cNvSpPr/>
          </xdr:nvSpPr>
          <xdr:spPr>
            <a:xfrm>
              <a:off x="6686550" y="32116395"/>
              <a:ext cx="8382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99</xdr:row>
          <xdr:rowOff>38100</xdr:rowOff>
        </xdr:from>
        <xdr:to>
          <xdr:col>3</xdr:col>
          <xdr:colOff>2619375</xdr:colOff>
          <xdr:row>99</xdr:row>
          <xdr:rowOff>304800</xdr:rowOff>
        </xdr:to>
        <xdr:sp>
          <xdr:nvSpPr>
            <xdr:cNvPr id="108604" name="Object 60" hidden="1">
              <a:extLst>
                <a:ext uri="{63B3BB69-23CF-44E3-9099-C40C66FF867C}">
                  <a14:compatExt spid="_x0000_s108604"/>
                </a:ext>
              </a:extLst>
            </xdr:cNvPr>
            <xdr:cNvSpPr/>
          </xdr:nvSpPr>
          <xdr:spPr>
            <a:xfrm>
              <a:off x="6400800" y="43244770"/>
              <a:ext cx="1943100" cy="266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107</xdr:row>
          <xdr:rowOff>47625</xdr:rowOff>
        </xdr:from>
        <xdr:to>
          <xdr:col>3</xdr:col>
          <xdr:colOff>2695575</xdr:colOff>
          <xdr:row>107</xdr:row>
          <xdr:rowOff>523875</xdr:rowOff>
        </xdr:to>
        <xdr:sp>
          <xdr:nvSpPr>
            <xdr:cNvPr id="108605" name="Object 61" hidden="1">
              <a:extLst>
                <a:ext uri="{63B3BB69-23CF-44E3-9099-C40C66FF867C}">
                  <a14:compatExt spid="_x0000_s108605"/>
                </a:ext>
              </a:extLst>
            </xdr:cNvPr>
            <xdr:cNvSpPr/>
          </xdr:nvSpPr>
          <xdr:spPr>
            <a:xfrm>
              <a:off x="6257925" y="47457995"/>
              <a:ext cx="2162175"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962025</xdr:colOff>
          <xdr:row>109</xdr:row>
          <xdr:rowOff>47625</xdr:rowOff>
        </xdr:from>
        <xdr:to>
          <xdr:col>3</xdr:col>
          <xdr:colOff>1971675</xdr:colOff>
          <xdr:row>109</xdr:row>
          <xdr:rowOff>523875</xdr:rowOff>
        </xdr:to>
        <xdr:sp>
          <xdr:nvSpPr>
            <xdr:cNvPr id="108606" name="Object 62" hidden="1">
              <a:extLst>
                <a:ext uri="{63B3BB69-23CF-44E3-9099-C40C66FF867C}">
                  <a14:compatExt spid="_x0000_s108606"/>
                </a:ext>
              </a:extLst>
            </xdr:cNvPr>
            <xdr:cNvSpPr/>
          </xdr:nvSpPr>
          <xdr:spPr>
            <a:xfrm>
              <a:off x="6686550" y="48524795"/>
              <a:ext cx="1009650"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114</xdr:row>
          <xdr:rowOff>47625</xdr:rowOff>
        </xdr:from>
        <xdr:to>
          <xdr:col>3</xdr:col>
          <xdr:colOff>1800225</xdr:colOff>
          <xdr:row>114</xdr:row>
          <xdr:rowOff>485775</xdr:rowOff>
        </xdr:to>
        <xdr:sp>
          <xdr:nvSpPr>
            <xdr:cNvPr id="108607" name="Object 63" hidden="1">
              <a:extLst>
                <a:ext uri="{63B3BB69-23CF-44E3-9099-C40C66FF867C}">
                  <a14:compatExt spid="_x0000_s108607"/>
                </a:ext>
              </a:extLst>
            </xdr:cNvPr>
            <xdr:cNvSpPr/>
          </xdr:nvSpPr>
          <xdr:spPr>
            <a:xfrm>
              <a:off x="6753225" y="51204495"/>
              <a:ext cx="771525"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904875</xdr:colOff>
          <xdr:row>115</xdr:row>
          <xdr:rowOff>66675</xdr:rowOff>
        </xdr:from>
        <xdr:to>
          <xdr:col>3</xdr:col>
          <xdr:colOff>1857375</xdr:colOff>
          <xdr:row>115</xdr:row>
          <xdr:rowOff>295275</xdr:rowOff>
        </xdr:to>
        <xdr:sp>
          <xdr:nvSpPr>
            <xdr:cNvPr id="108608" name="Object 64" hidden="1">
              <a:extLst>
                <a:ext uri="{63B3BB69-23CF-44E3-9099-C40C66FF867C}">
                  <a14:compatExt spid="_x0000_s108608"/>
                </a:ext>
              </a:extLst>
            </xdr:cNvPr>
            <xdr:cNvSpPr/>
          </xdr:nvSpPr>
          <xdr:spPr>
            <a:xfrm>
              <a:off x="6629400" y="51783615"/>
              <a:ext cx="9525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47</xdr:row>
          <xdr:rowOff>66675</xdr:rowOff>
        </xdr:from>
        <xdr:to>
          <xdr:col>3</xdr:col>
          <xdr:colOff>1914525</xdr:colOff>
          <xdr:row>47</xdr:row>
          <xdr:rowOff>333375</xdr:rowOff>
        </xdr:to>
        <xdr:sp>
          <xdr:nvSpPr>
            <xdr:cNvPr id="108609" name="Object 65" hidden="1">
              <a:extLst>
                <a:ext uri="{63B3BB69-23CF-44E3-9099-C40C66FF867C}">
                  <a14:compatExt spid="_x0000_s108609"/>
                </a:ext>
              </a:extLst>
            </xdr:cNvPr>
            <xdr:cNvSpPr/>
          </xdr:nvSpPr>
          <xdr:spPr>
            <a:xfrm>
              <a:off x="6467475" y="16580485"/>
              <a:ext cx="1171575" cy="266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80</xdr:row>
          <xdr:rowOff>57150</xdr:rowOff>
        </xdr:from>
        <xdr:to>
          <xdr:col>3</xdr:col>
          <xdr:colOff>2181225</xdr:colOff>
          <xdr:row>80</xdr:row>
          <xdr:rowOff>552450</xdr:rowOff>
        </xdr:to>
        <xdr:sp>
          <xdr:nvSpPr>
            <xdr:cNvPr id="108610" name="Object 66" hidden="1">
              <a:extLst>
                <a:ext uri="{63B3BB69-23CF-44E3-9099-C40C66FF867C}">
                  <a14:compatExt spid="_x0000_s108610"/>
                </a:ext>
              </a:extLst>
            </xdr:cNvPr>
            <xdr:cNvSpPr/>
          </xdr:nvSpPr>
          <xdr:spPr>
            <a:xfrm>
              <a:off x="6553200" y="32452310"/>
              <a:ext cx="1352550" cy="495300"/>
            </a:xfrm>
            <a:prstGeom prst="rect">
              <a:avLst/>
            </a:prstGeom>
          </xdr:spPr>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1562100</xdr:colOff>
          <xdr:row>27</xdr:row>
          <xdr:rowOff>38100</xdr:rowOff>
        </xdr:from>
        <xdr:to>
          <xdr:col>3</xdr:col>
          <xdr:colOff>2295525</xdr:colOff>
          <xdr:row>27</xdr:row>
          <xdr:rowOff>390525</xdr:rowOff>
        </xdr:to>
        <xdr:sp>
          <xdr:nvSpPr>
            <xdr:cNvPr id="114689" name="Object 1" hidden="1">
              <a:extLst>
                <a:ext uri="{63B3BB69-23CF-44E3-9099-C40C66FF867C}">
                  <a14:compatExt spid="_x0000_s114689"/>
                </a:ext>
              </a:extLst>
            </xdr:cNvPr>
            <xdr:cNvSpPr/>
          </xdr:nvSpPr>
          <xdr:spPr>
            <a:xfrm>
              <a:off x="5162550" y="6934200"/>
              <a:ext cx="733425" cy="3524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30</xdr:row>
          <xdr:rowOff>19050</xdr:rowOff>
        </xdr:from>
        <xdr:to>
          <xdr:col>3</xdr:col>
          <xdr:colOff>2276475</xdr:colOff>
          <xdr:row>30</xdr:row>
          <xdr:rowOff>257175</xdr:rowOff>
        </xdr:to>
        <xdr:sp>
          <xdr:nvSpPr>
            <xdr:cNvPr id="114690" name="Object 2" hidden="1">
              <a:extLst>
                <a:ext uri="{63B3BB69-23CF-44E3-9099-C40C66FF867C}">
                  <a14:compatExt spid="_x0000_s114690"/>
                </a:ext>
              </a:extLst>
            </xdr:cNvPr>
            <xdr:cNvSpPr/>
          </xdr:nvSpPr>
          <xdr:spPr>
            <a:xfrm>
              <a:off x="5153025" y="7933055"/>
              <a:ext cx="7239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29</xdr:row>
          <xdr:rowOff>19050</xdr:rowOff>
        </xdr:from>
        <xdr:to>
          <xdr:col>3</xdr:col>
          <xdr:colOff>2305050</xdr:colOff>
          <xdr:row>29</xdr:row>
          <xdr:rowOff>247650</xdr:rowOff>
        </xdr:to>
        <xdr:sp>
          <xdr:nvSpPr>
            <xdr:cNvPr id="114691" name="Object 3" hidden="1">
              <a:extLst>
                <a:ext uri="{63B3BB69-23CF-44E3-9099-C40C66FF867C}">
                  <a14:compatExt spid="_x0000_s114691"/>
                </a:ext>
              </a:extLst>
            </xdr:cNvPr>
            <xdr:cNvSpPr/>
          </xdr:nvSpPr>
          <xdr:spPr>
            <a:xfrm>
              <a:off x="5153025" y="7639685"/>
              <a:ext cx="75247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1228725</xdr:colOff>
          <xdr:row>34</xdr:row>
          <xdr:rowOff>57150</xdr:rowOff>
        </xdr:from>
        <xdr:to>
          <xdr:col>3</xdr:col>
          <xdr:colOff>2476500</xdr:colOff>
          <xdr:row>34</xdr:row>
          <xdr:rowOff>628650</xdr:rowOff>
        </xdr:to>
        <xdr:sp>
          <xdr:nvSpPr>
            <xdr:cNvPr id="114692" name="Object 4" hidden="1">
              <a:extLst>
                <a:ext uri="{63B3BB69-23CF-44E3-9099-C40C66FF867C}">
                  <a14:compatExt spid="_x0000_s114692"/>
                </a:ext>
              </a:extLst>
            </xdr:cNvPr>
            <xdr:cNvSpPr/>
          </xdr:nvSpPr>
          <xdr:spPr>
            <a:xfrm>
              <a:off x="4829175" y="8963025"/>
              <a:ext cx="1247775" cy="571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37</xdr:row>
          <xdr:rowOff>85725</xdr:rowOff>
        </xdr:from>
        <xdr:to>
          <xdr:col>3</xdr:col>
          <xdr:colOff>2524125</xdr:colOff>
          <xdr:row>37</xdr:row>
          <xdr:rowOff>504825</xdr:rowOff>
        </xdr:to>
        <xdr:sp>
          <xdr:nvSpPr>
            <xdr:cNvPr id="114693" name="Object 5" hidden="1">
              <a:extLst>
                <a:ext uri="{63B3BB69-23CF-44E3-9099-C40C66FF867C}">
                  <a14:compatExt spid="_x0000_s114693"/>
                </a:ext>
              </a:extLst>
            </xdr:cNvPr>
            <xdr:cNvSpPr/>
          </xdr:nvSpPr>
          <xdr:spPr>
            <a:xfrm>
              <a:off x="4867275" y="11035030"/>
              <a:ext cx="12573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1285875</xdr:colOff>
          <xdr:row>38</xdr:row>
          <xdr:rowOff>47625</xdr:rowOff>
        </xdr:from>
        <xdr:to>
          <xdr:col>3</xdr:col>
          <xdr:colOff>2409825</xdr:colOff>
          <xdr:row>38</xdr:row>
          <xdr:rowOff>314325</xdr:rowOff>
        </xdr:to>
        <xdr:sp>
          <xdr:nvSpPr>
            <xdr:cNvPr id="114694" name="Object 6" hidden="1">
              <a:extLst>
                <a:ext uri="{63B3BB69-23CF-44E3-9099-C40C66FF867C}">
                  <a14:compatExt spid="_x0000_s114694"/>
                </a:ext>
              </a:extLst>
            </xdr:cNvPr>
            <xdr:cNvSpPr/>
          </xdr:nvSpPr>
          <xdr:spPr>
            <a:xfrm>
              <a:off x="4886325" y="11530330"/>
              <a:ext cx="1123950" cy="266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39</xdr:row>
          <xdr:rowOff>47625</xdr:rowOff>
        </xdr:from>
        <xdr:to>
          <xdr:col>3</xdr:col>
          <xdr:colOff>2409825</xdr:colOff>
          <xdr:row>39</xdr:row>
          <xdr:rowOff>533400</xdr:rowOff>
        </xdr:to>
        <xdr:sp>
          <xdr:nvSpPr>
            <xdr:cNvPr id="114695" name="Object 7" hidden="1">
              <a:extLst>
                <a:ext uri="{63B3BB69-23CF-44E3-9099-C40C66FF867C}">
                  <a14:compatExt spid="_x0000_s114695"/>
                </a:ext>
              </a:extLst>
            </xdr:cNvPr>
            <xdr:cNvSpPr/>
          </xdr:nvSpPr>
          <xdr:spPr>
            <a:xfrm>
              <a:off x="4895850" y="11885295"/>
              <a:ext cx="111442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1323975</xdr:colOff>
          <xdr:row>40</xdr:row>
          <xdr:rowOff>47625</xdr:rowOff>
        </xdr:from>
        <xdr:to>
          <xdr:col>3</xdr:col>
          <xdr:colOff>2314575</xdr:colOff>
          <xdr:row>40</xdr:row>
          <xdr:rowOff>466725</xdr:rowOff>
        </xdr:to>
        <xdr:sp>
          <xdr:nvSpPr>
            <xdr:cNvPr id="114696" name="Object 8" hidden="1">
              <a:extLst>
                <a:ext uri="{63B3BB69-23CF-44E3-9099-C40C66FF867C}">
                  <a14:compatExt spid="_x0000_s114696"/>
                </a:ext>
              </a:extLst>
            </xdr:cNvPr>
            <xdr:cNvSpPr/>
          </xdr:nvSpPr>
          <xdr:spPr>
            <a:xfrm>
              <a:off x="4924425" y="12430760"/>
              <a:ext cx="9906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1362075</xdr:colOff>
          <xdr:row>43</xdr:row>
          <xdr:rowOff>47625</xdr:rowOff>
        </xdr:from>
        <xdr:to>
          <xdr:col>3</xdr:col>
          <xdr:colOff>2486025</xdr:colOff>
          <xdr:row>43</xdr:row>
          <xdr:rowOff>533400</xdr:rowOff>
        </xdr:to>
        <xdr:sp>
          <xdr:nvSpPr>
            <xdr:cNvPr id="114697" name="Object 9" hidden="1">
              <a:extLst>
                <a:ext uri="{63B3BB69-23CF-44E3-9099-C40C66FF867C}">
                  <a14:compatExt spid="_x0000_s114697"/>
                </a:ext>
              </a:extLst>
            </xdr:cNvPr>
            <xdr:cNvSpPr/>
          </xdr:nvSpPr>
          <xdr:spPr>
            <a:xfrm>
              <a:off x="4962525" y="13624560"/>
              <a:ext cx="112395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1314450</xdr:colOff>
          <xdr:row>46</xdr:row>
          <xdr:rowOff>38100</xdr:rowOff>
        </xdr:from>
        <xdr:to>
          <xdr:col>3</xdr:col>
          <xdr:colOff>2114550</xdr:colOff>
          <xdr:row>46</xdr:row>
          <xdr:rowOff>266700</xdr:rowOff>
        </xdr:to>
        <xdr:sp>
          <xdr:nvSpPr>
            <xdr:cNvPr id="114698" name="Object 10" hidden="1">
              <a:extLst>
                <a:ext uri="{63B3BB69-23CF-44E3-9099-C40C66FF867C}">
                  <a14:compatExt spid="_x0000_s114698"/>
                </a:ext>
              </a:extLst>
            </xdr:cNvPr>
            <xdr:cNvSpPr/>
          </xdr:nvSpPr>
          <xdr:spPr>
            <a:xfrm>
              <a:off x="4914900" y="15535275"/>
              <a:ext cx="8001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1114425</xdr:colOff>
          <xdr:row>47</xdr:row>
          <xdr:rowOff>28575</xdr:rowOff>
        </xdr:from>
        <xdr:to>
          <xdr:col>3</xdr:col>
          <xdr:colOff>2486025</xdr:colOff>
          <xdr:row>47</xdr:row>
          <xdr:rowOff>257175</xdr:rowOff>
        </xdr:to>
        <xdr:sp>
          <xdr:nvSpPr>
            <xdr:cNvPr id="114699" name="Object 11" hidden="1">
              <a:extLst>
                <a:ext uri="{63B3BB69-23CF-44E3-9099-C40C66FF867C}">
                  <a14:compatExt spid="_x0000_s114699"/>
                </a:ext>
              </a:extLst>
            </xdr:cNvPr>
            <xdr:cNvSpPr/>
          </xdr:nvSpPr>
          <xdr:spPr>
            <a:xfrm>
              <a:off x="4714875" y="15830550"/>
              <a:ext cx="13716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895350</xdr:colOff>
          <xdr:row>49</xdr:row>
          <xdr:rowOff>38100</xdr:rowOff>
        </xdr:from>
        <xdr:to>
          <xdr:col>3</xdr:col>
          <xdr:colOff>2714625</xdr:colOff>
          <xdr:row>49</xdr:row>
          <xdr:rowOff>523875</xdr:rowOff>
        </xdr:to>
        <xdr:sp>
          <xdr:nvSpPr>
            <xdr:cNvPr id="114700" name="Object 12" hidden="1">
              <a:extLst>
                <a:ext uri="{63B3BB69-23CF-44E3-9099-C40C66FF867C}">
                  <a14:compatExt spid="_x0000_s114700"/>
                </a:ext>
              </a:extLst>
            </xdr:cNvPr>
            <xdr:cNvSpPr/>
          </xdr:nvSpPr>
          <xdr:spPr>
            <a:xfrm>
              <a:off x="4495800" y="16438245"/>
              <a:ext cx="181927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1304925</xdr:colOff>
          <xdr:row>51</xdr:row>
          <xdr:rowOff>47625</xdr:rowOff>
        </xdr:from>
        <xdr:to>
          <xdr:col>3</xdr:col>
          <xdr:colOff>2409825</xdr:colOff>
          <xdr:row>51</xdr:row>
          <xdr:rowOff>485775</xdr:rowOff>
        </xdr:to>
        <xdr:sp>
          <xdr:nvSpPr>
            <xdr:cNvPr id="114701" name="Object 13" hidden="1">
              <a:extLst>
                <a:ext uri="{63B3BB69-23CF-44E3-9099-C40C66FF867C}">
                  <a14:compatExt spid="_x0000_s114701"/>
                </a:ext>
              </a:extLst>
            </xdr:cNvPr>
            <xdr:cNvSpPr/>
          </xdr:nvSpPr>
          <xdr:spPr>
            <a:xfrm>
              <a:off x="4905375" y="17640935"/>
              <a:ext cx="1104900"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52</xdr:row>
          <xdr:rowOff>66675</xdr:rowOff>
        </xdr:from>
        <xdr:to>
          <xdr:col>3</xdr:col>
          <xdr:colOff>2924175</xdr:colOff>
          <xdr:row>52</xdr:row>
          <xdr:rowOff>571500</xdr:rowOff>
        </xdr:to>
        <xdr:sp>
          <xdr:nvSpPr>
            <xdr:cNvPr id="114702" name="Object 14" hidden="1">
              <a:extLst>
                <a:ext uri="{63B3BB69-23CF-44E3-9099-C40C66FF867C}">
                  <a14:compatExt spid="_x0000_s114702"/>
                </a:ext>
              </a:extLst>
            </xdr:cNvPr>
            <xdr:cNvSpPr/>
          </xdr:nvSpPr>
          <xdr:spPr>
            <a:xfrm>
              <a:off x="4229100" y="18220055"/>
              <a:ext cx="2295525"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1476375</xdr:colOff>
          <xdr:row>53</xdr:row>
          <xdr:rowOff>38100</xdr:rowOff>
        </xdr:from>
        <xdr:to>
          <xdr:col>3</xdr:col>
          <xdr:colOff>2076450</xdr:colOff>
          <xdr:row>53</xdr:row>
          <xdr:rowOff>428625</xdr:rowOff>
        </xdr:to>
        <xdr:sp>
          <xdr:nvSpPr>
            <xdr:cNvPr id="114703" name="Object 15" hidden="1">
              <a:extLst>
                <a:ext uri="{63B3BB69-23CF-44E3-9099-C40C66FF867C}">
                  <a14:compatExt spid="_x0000_s114703"/>
                </a:ext>
              </a:extLst>
            </xdr:cNvPr>
            <xdr:cNvSpPr/>
          </xdr:nvSpPr>
          <xdr:spPr>
            <a:xfrm>
              <a:off x="5076825" y="18813145"/>
              <a:ext cx="60007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54</xdr:row>
          <xdr:rowOff>28575</xdr:rowOff>
        </xdr:from>
        <xdr:to>
          <xdr:col>3</xdr:col>
          <xdr:colOff>2676525</xdr:colOff>
          <xdr:row>54</xdr:row>
          <xdr:rowOff>514350</xdr:rowOff>
        </xdr:to>
        <xdr:sp>
          <xdr:nvSpPr>
            <xdr:cNvPr id="114704" name="Object 16" hidden="1">
              <a:extLst>
                <a:ext uri="{63B3BB69-23CF-44E3-9099-C40C66FF867C}">
                  <a14:compatExt spid="_x0000_s114704"/>
                </a:ext>
              </a:extLst>
            </xdr:cNvPr>
            <xdr:cNvSpPr/>
          </xdr:nvSpPr>
          <xdr:spPr>
            <a:xfrm>
              <a:off x="4514850" y="19287490"/>
              <a:ext cx="176212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44</xdr:row>
          <xdr:rowOff>38100</xdr:rowOff>
        </xdr:from>
        <xdr:to>
          <xdr:col>3</xdr:col>
          <xdr:colOff>3114675</xdr:colOff>
          <xdr:row>44</xdr:row>
          <xdr:rowOff>1028700</xdr:rowOff>
        </xdr:to>
        <xdr:sp>
          <xdr:nvSpPr>
            <xdr:cNvPr id="114705" name="Object 17" hidden="1">
              <a:extLst>
                <a:ext uri="{63B3BB69-23CF-44E3-9099-C40C66FF867C}">
                  <a14:compatExt spid="_x0000_s114705"/>
                </a:ext>
              </a:extLst>
            </xdr:cNvPr>
            <xdr:cNvSpPr/>
          </xdr:nvSpPr>
          <xdr:spPr>
            <a:xfrm>
              <a:off x="4391025" y="14186535"/>
              <a:ext cx="2324100" cy="990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695325</xdr:colOff>
          <xdr:row>50</xdr:row>
          <xdr:rowOff>38100</xdr:rowOff>
        </xdr:from>
        <xdr:to>
          <xdr:col>3</xdr:col>
          <xdr:colOff>2876550</xdr:colOff>
          <xdr:row>50</xdr:row>
          <xdr:rowOff>542925</xdr:rowOff>
        </xdr:to>
        <xdr:sp>
          <xdr:nvSpPr>
            <xdr:cNvPr id="114706" name="Object 18" hidden="1">
              <a:extLst>
                <a:ext uri="{63B3BB69-23CF-44E3-9099-C40C66FF867C}">
                  <a14:compatExt spid="_x0000_s114706"/>
                </a:ext>
              </a:extLst>
            </xdr:cNvPr>
            <xdr:cNvSpPr/>
          </xdr:nvSpPr>
          <xdr:spPr>
            <a:xfrm>
              <a:off x="4295775" y="17021810"/>
              <a:ext cx="2181225" cy="504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55</xdr:row>
          <xdr:rowOff>38100</xdr:rowOff>
        </xdr:from>
        <xdr:to>
          <xdr:col>3</xdr:col>
          <xdr:colOff>2800350</xdr:colOff>
          <xdr:row>55</xdr:row>
          <xdr:rowOff>600075</xdr:rowOff>
        </xdr:to>
        <xdr:sp>
          <xdr:nvSpPr>
            <xdr:cNvPr id="114707" name="Object 19" hidden="1">
              <a:extLst>
                <a:ext uri="{63B3BB69-23CF-44E3-9099-C40C66FF867C}">
                  <a14:compatExt spid="_x0000_s114707"/>
                </a:ext>
              </a:extLst>
            </xdr:cNvPr>
            <xdr:cNvSpPr/>
          </xdr:nvSpPr>
          <xdr:spPr>
            <a:xfrm>
              <a:off x="4343400" y="19857085"/>
              <a:ext cx="2057400" cy="561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56</xdr:row>
          <xdr:rowOff>47625</xdr:rowOff>
        </xdr:from>
        <xdr:to>
          <xdr:col>3</xdr:col>
          <xdr:colOff>2505075</xdr:colOff>
          <xdr:row>56</xdr:row>
          <xdr:rowOff>285750</xdr:rowOff>
        </xdr:to>
        <xdr:sp>
          <xdr:nvSpPr>
            <xdr:cNvPr id="114708" name="Object 20" hidden="1">
              <a:extLst>
                <a:ext uri="{63B3BB69-23CF-44E3-9099-C40C66FF867C}">
                  <a14:compatExt spid="_x0000_s114708"/>
                </a:ext>
              </a:extLst>
            </xdr:cNvPr>
            <xdr:cNvSpPr/>
          </xdr:nvSpPr>
          <xdr:spPr>
            <a:xfrm>
              <a:off x="4724400" y="20502880"/>
              <a:ext cx="1381125"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600075</xdr:colOff>
          <xdr:row>57</xdr:row>
          <xdr:rowOff>47625</xdr:rowOff>
        </xdr:from>
        <xdr:to>
          <xdr:col>3</xdr:col>
          <xdr:colOff>3305175</xdr:colOff>
          <xdr:row>57</xdr:row>
          <xdr:rowOff>533400</xdr:rowOff>
        </xdr:to>
        <xdr:sp>
          <xdr:nvSpPr>
            <xdr:cNvPr id="114709" name="Object 21" hidden="1">
              <a:extLst>
                <a:ext uri="{63B3BB69-23CF-44E3-9099-C40C66FF867C}">
                  <a14:compatExt spid="_x0000_s114709"/>
                </a:ext>
              </a:extLst>
            </xdr:cNvPr>
            <xdr:cNvSpPr/>
          </xdr:nvSpPr>
          <xdr:spPr>
            <a:xfrm>
              <a:off x="4200525" y="20872450"/>
              <a:ext cx="270510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61</xdr:row>
          <xdr:rowOff>123825</xdr:rowOff>
        </xdr:from>
        <xdr:to>
          <xdr:col>3</xdr:col>
          <xdr:colOff>3305175</xdr:colOff>
          <xdr:row>61</xdr:row>
          <xdr:rowOff>676275</xdr:rowOff>
        </xdr:to>
        <xdr:sp>
          <xdr:nvSpPr>
            <xdr:cNvPr id="114710" name="Object 22" hidden="1">
              <a:extLst>
                <a:ext uri="{63B3BB69-23CF-44E3-9099-C40C66FF867C}">
                  <a14:compatExt spid="_x0000_s114710"/>
                </a:ext>
              </a:extLst>
            </xdr:cNvPr>
            <xdr:cNvSpPr/>
          </xdr:nvSpPr>
          <xdr:spPr>
            <a:xfrm>
              <a:off x="4010025" y="23148290"/>
              <a:ext cx="2895600" cy="552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62</xdr:row>
          <xdr:rowOff>38100</xdr:rowOff>
        </xdr:from>
        <xdr:to>
          <xdr:col>3</xdr:col>
          <xdr:colOff>3352800</xdr:colOff>
          <xdr:row>62</xdr:row>
          <xdr:rowOff>600075</xdr:rowOff>
        </xdr:to>
        <xdr:sp>
          <xdr:nvSpPr>
            <xdr:cNvPr id="114711" name="Object 23" hidden="1">
              <a:extLst>
                <a:ext uri="{63B3BB69-23CF-44E3-9099-C40C66FF867C}">
                  <a14:compatExt spid="_x0000_s114711"/>
                </a:ext>
              </a:extLst>
            </xdr:cNvPr>
            <xdr:cNvSpPr/>
          </xdr:nvSpPr>
          <xdr:spPr>
            <a:xfrm>
              <a:off x="4010025" y="23786465"/>
              <a:ext cx="2943225" cy="561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1181100</xdr:colOff>
          <xdr:row>63</xdr:row>
          <xdr:rowOff>57150</xdr:rowOff>
        </xdr:from>
        <xdr:to>
          <xdr:col>3</xdr:col>
          <xdr:colOff>2562225</xdr:colOff>
          <xdr:row>63</xdr:row>
          <xdr:rowOff>295275</xdr:rowOff>
        </xdr:to>
        <xdr:sp>
          <xdr:nvSpPr>
            <xdr:cNvPr id="114712" name="Object 24" hidden="1">
              <a:extLst>
                <a:ext uri="{63B3BB69-23CF-44E3-9099-C40C66FF867C}">
                  <a14:compatExt spid="_x0000_s114712"/>
                </a:ext>
              </a:extLst>
            </xdr:cNvPr>
            <xdr:cNvSpPr/>
          </xdr:nvSpPr>
          <xdr:spPr>
            <a:xfrm>
              <a:off x="4781550" y="24441785"/>
              <a:ext cx="1381125"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161925</xdr:colOff>
          <xdr:row>64</xdr:row>
          <xdr:rowOff>85725</xdr:rowOff>
        </xdr:from>
        <xdr:to>
          <xdr:col>3</xdr:col>
          <xdr:colOff>3657600</xdr:colOff>
          <xdr:row>64</xdr:row>
          <xdr:rowOff>571500</xdr:rowOff>
        </xdr:to>
        <xdr:sp>
          <xdr:nvSpPr>
            <xdr:cNvPr id="114713" name="Object 25" hidden="1">
              <a:extLst>
                <a:ext uri="{63B3BB69-23CF-44E3-9099-C40C66FF867C}">
                  <a14:compatExt spid="_x0000_s114713"/>
                </a:ext>
              </a:extLst>
            </xdr:cNvPr>
            <xdr:cNvSpPr/>
          </xdr:nvSpPr>
          <xdr:spPr>
            <a:xfrm>
              <a:off x="3762375" y="24825325"/>
              <a:ext cx="3495675"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885825</xdr:colOff>
          <xdr:row>66</xdr:row>
          <xdr:rowOff>66675</xdr:rowOff>
        </xdr:from>
        <xdr:to>
          <xdr:col>3</xdr:col>
          <xdr:colOff>2943225</xdr:colOff>
          <xdr:row>66</xdr:row>
          <xdr:rowOff>628650</xdr:rowOff>
        </xdr:to>
        <xdr:sp>
          <xdr:nvSpPr>
            <xdr:cNvPr id="114714" name="Object 26" hidden="1">
              <a:extLst>
                <a:ext uri="{63B3BB69-23CF-44E3-9099-C40C66FF867C}">
                  <a14:compatExt spid="_x0000_s114714"/>
                </a:ext>
              </a:extLst>
            </xdr:cNvPr>
            <xdr:cNvSpPr/>
          </xdr:nvSpPr>
          <xdr:spPr>
            <a:xfrm>
              <a:off x="4486275" y="26189940"/>
              <a:ext cx="2057400" cy="561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1200150</xdr:colOff>
          <xdr:row>67</xdr:row>
          <xdr:rowOff>38100</xdr:rowOff>
        </xdr:from>
        <xdr:to>
          <xdr:col>3</xdr:col>
          <xdr:colOff>2647950</xdr:colOff>
          <xdr:row>67</xdr:row>
          <xdr:rowOff>276225</xdr:rowOff>
        </xdr:to>
        <xdr:sp>
          <xdr:nvSpPr>
            <xdr:cNvPr id="114715" name="Object 27" hidden="1">
              <a:extLst>
                <a:ext uri="{63B3BB69-23CF-44E3-9099-C40C66FF867C}">
                  <a14:compatExt spid="_x0000_s114715"/>
                </a:ext>
              </a:extLst>
            </xdr:cNvPr>
            <xdr:cNvSpPr/>
          </xdr:nvSpPr>
          <xdr:spPr>
            <a:xfrm>
              <a:off x="4800600" y="26897330"/>
              <a:ext cx="14478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68</xdr:row>
          <xdr:rowOff>47625</xdr:rowOff>
        </xdr:from>
        <xdr:to>
          <xdr:col>3</xdr:col>
          <xdr:colOff>3190875</xdr:colOff>
          <xdr:row>68</xdr:row>
          <xdr:rowOff>533400</xdr:rowOff>
        </xdr:to>
        <xdr:sp>
          <xdr:nvSpPr>
            <xdr:cNvPr id="114716" name="Object 28" hidden="1">
              <a:extLst>
                <a:ext uri="{63B3BB69-23CF-44E3-9099-C40C66FF867C}">
                  <a14:compatExt spid="_x0000_s114716"/>
                </a:ext>
              </a:extLst>
            </xdr:cNvPr>
            <xdr:cNvSpPr/>
          </xdr:nvSpPr>
          <xdr:spPr>
            <a:xfrm>
              <a:off x="4086225" y="27238325"/>
              <a:ext cx="2705100" cy="4857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1114425</xdr:colOff>
          <xdr:row>35</xdr:row>
          <xdr:rowOff>66675</xdr:rowOff>
        </xdr:from>
        <xdr:to>
          <xdr:col>3</xdr:col>
          <xdr:colOff>2619375</xdr:colOff>
          <xdr:row>35</xdr:row>
          <xdr:rowOff>657225</xdr:rowOff>
        </xdr:to>
        <xdr:sp>
          <xdr:nvSpPr>
            <xdr:cNvPr id="114753" name="Object 65" hidden="1">
              <a:extLst>
                <a:ext uri="{63B3BB69-23CF-44E3-9099-C40C66FF867C}">
                  <a14:compatExt spid="_x0000_s114753"/>
                </a:ext>
              </a:extLst>
            </xdr:cNvPr>
            <xdr:cNvSpPr/>
          </xdr:nvSpPr>
          <xdr:spPr>
            <a:xfrm>
              <a:off x="4714875" y="9670415"/>
              <a:ext cx="1504950" cy="590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546100</xdr:colOff>
          <xdr:row>59</xdr:row>
          <xdr:rowOff>38100</xdr:rowOff>
        </xdr:from>
        <xdr:to>
          <xdr:col>3</xdr:col>
          <xdr:colOff>3302000</xdr:colOff>
          <xdr:row>59</xdr:row>
          <xdr:rowOff>495300</xdr:rowOff>
        </xdr:to>
        <xdr:sp>
          <xdr:nvSpPr>
            <xdr:cNvPr id="114754" name="Object 66" hidden="1">
              <a:extLst>
                <a:ext uri="{63B3BB69-23CF-44E3-9099-C40C66FF867C}">
                  <a14:compatExt spid="_x0000_s114754"/>
                </a:ext>
              </a:extLst>
            </xdr:cNvPr>
            <xdr:cNvSpPr/>
          </xdr:nvSpPr>
          <xdr:spPr>
            <a:xfrm>
              <a:off x="4146550" y="22286595"/>
              <a:ext cx="2755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546100</xdr:colOff>
          <xdr:row>58</xdr:row>
          <xdr:rowOff>69850</xdr:rowOff>
        </xdr:from>
        <xdr:to>
          <xdr:col>3</xdr:col>
          <xdr:colOff>3365500</xdr:colOff>
          <xdr:row>58</xdr:row>
          <xdr:rowOff>654050</xdr:rowOff>
        </xdr:to>
        <xdr:sp>
          <xdr:nvSpPr>
            <xdr:cNvPr id="114755" name="Object 67" hidden="1">
              <a:extLst>
                <a:ext uri="{63B3BB69-23CF-44E3-9099-C40C66FF867C}">
                  <a14:compatExt spid="_x0000_s114755"/>
                </a:ext>
              </a:extLst>
            </xdr:cNvPr>
            <xdr:cNvSpPr/>
          </xdr:nvSpPr>
          <xdr:spPr>
            <a:xfrm>
              <a:off x="4146550" y="21530945"/>
              <a:ext cx="2819400" cy="58420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3.wmf"/><Relationship Id="rId70" Type="http://schemas.openxmlformats.org/officeDocument/2006/relationships/image" Target="../media/image34.w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33.wmf"/><Relationship Id="rId67" Type="http://schemas.openxmlformats.org/officeDocument/2006/relationships/oleObject" Target="../embeddings/oleObject33.bin"/><Relationship Id="rId66" Type="http://schemas.openxmlformats.org/officeDocument/2006/relationships/image" Target="../media/image32.wmf"/><Relationship Id="rId65" Type="http://schemas.openxmlformats.org/officeDocument/2006/relationships/oleObject" Target="../embeddings/oleObject32.bin"/><Relationship Id="rId64" Type="http://schemas.openxmlformats.org/officeDocument/2006/relationships/image" Target="../media/image31.wmf"/><Relationship Id="rId63" Type="http://schemas.openxmlformats.org/officeDocument/2006/relationships/oleObject" Target="../embeddings/oleObject31.bin"/><Relationship Id="rId62" Type="http://schemas.openxmlformats.org/officeDocument/2006/relationships/image" Target="../media/image30.wmf"/><Relationship Id="rId61" Type="http://schemas.openxmlformats.org/officeDocument/2006/relationships/oleObject" Target="../embeddings/oleObject30.bin"/><Relationship Id="rId60" Type="http://schemas.openxmlformats.org/officeDocument/2006/relationships/image" Target="../media/image29.wmf"/><Relationship Id="rId6" Type="http://schemas.openxmlformats.org/officeDocument/2006/relationships/image" Target="../media/image2.wmf"/><Relationship Id="rId59" Type="http://schemas.openxmlformats.org/officeDocument/2006/relationships/oleObject" Target="../embeddings/oleObject29.bin"/><Relationship Id="rId58" Type="http://schemas.openxmlformats.org/officeDocument/2006/relationships/image" Target="../media/image28.wmf"/><Relationship Id="rId57" Type="http://schemas.openxmlformats.org/officeDocument/2006/relationships/oleObject" Target="../embeddings/oleObject28.bin"/><Relationship Id="rId56" Type="http://schemas.openxmlformats.org/officeDocument/2006/relationships/image" Target="../media/image27.wmf"/><Relationship Id="rId55" Type="http://schemas.openxmlformats.org/officeDocument/2006/relationships/oleObject" Target="../embeddings/oleObject27.bin"/><Relationship Id="rId54" Type="http://schemas.openxmlformats.org/officeDocument/2006/relationships/image" Target="../media/image26.wmf"/><Relationship Id="rId53" Type="http://schemas.openxmlformats.org/officeDocument/2006/relationships/oleObject" Target="../embeddings/oleObject26.bin"/><Relationship Id="rId52" Type="http://schemas.openxmlformats.org/officeDocument/2006/relationships/image" Target="../media/image25.wmf"/><Relationship Id="rId51" Type="http://schemas.openxmlformats.org/officeDocument/2006/relationships/oleObject" Target="../embeddings/oleObject25.bin"/><Relationship Id="rId50" Type="http://schemas.openxmlformats.org/officeDocument/2006/relationships/image" Target="../media/image24.w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23.wmf"/><Relationship Id="rId47" Type="http://schemas.openxmlformats.org/officeDocument/2006/relationships/oleObject" Target="../embeddings/oleObject23.bin"/><Relationship Id="rId46" Type="http://schemas.openxmlformats.org/officeDocument/2006/relationships/image" Target="../media/image22.wmf"/><Relationship Id="rId45" Type="http://schemas.openxmlformats.org/officeDocument/2006/relationships/oleObject" Target="../embeddings/oleObject22.bin"/><Relationship Id="rId44" Type="http://schemas.openxmlformats.org/officeDocument/2006/relationships/image" Target="../media/image21.wmf"/><Relationship Id="rId43" Type="http://schemas.openxmlformats.org/officeDocument/2006/relationships/oleObject" Target="../embeddings/oleObject21.bin"/><Relationship Id="rId42" Type="http://schemas.openxmlformats.org/officeDocument/2006/relationships/image" Target="../media/image20.wmf"/><Relationship Id="rId41" Type="http://schemas.openxmlformats.org/officeDocument/2006/relationships/oleObject" Target="../embeddings/oleObject20.bin"/><Relationship Id="rId40" Type="http://schemas.openxmlformats.org/officeDocument/2006/relationships/image" Target="../media/image19.wmf"/><Relationship Id="rId4" Type="http://schemas.openxmlformats.org/officeDocument/2006/relationships/image" Target="../media/image1.wmf"/><Relationship Id="rId39" Type="http://schemas.openxmlformats.org/officeDocument/2006/relationships/oleObject" Target="../embeddings/oleObject19.bin"/><Relationship Id="rId38" Type="http://schemas.openxmlformats.org/officeDocument/2006/relationships/image" Target="../media/image18.wmf"/><Relationship Id="rId37" Type="http://schemas.openxmlformats.org/officeDocument/2006/relationships/oleObject" Target="../embeddings/oleObject18.bin"/><Relationship Id="rId36" Type="http://schemas.openxmlformats.org/officeDocument/2006/relationships/image" Target="../media/image17.wmf"/><Relationship Id="rId35" Type="http://schemas.openxmlformats.org/officeDocument/2006/relationships/oleObject" Target="../embeddings/oleObject17.bin"/><Relationship Id="rId34" Type="http://schemas.openxmlformats.org/officeDocument/2006/relationships/image" Target="../media/image16.wmf"/><Relationship Id="rId33" Type="http://schemas.openxmlformats.org/officeDocument/2006/relationships/oleObject" Target="../embeddings/oleObject16.bin"/><Relationship Id="rId32" Type="http://schemas.openxmlformats.org/officeDocument/2006/relationships/image" Target="../media/image15.wmf"/><Relationship Id="rId31" Type="http://schemas.openxmlformats.org/officeDocument/2006/relationships/oleObject" Target="../embeddings/oleObject15.bin"/><Relationship Id="rId30" Type="http://schemas.openxmlformats.org/officeDocument/2006/relationships/image" Target="../media/image14.w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3.wmf"/><Relationship Id="rId27" Type="http://schemas.openxmlformats.org/officeDocument/2006/relationships/oleObject" Target="../embeddings/oleObject13.bin"/><Relationship Id="rId26" Type="http://schemas.openxmlformats.org/officeDocument/2006/relationships/image" Target="../media/image12.wmf"/><Relationship Id="rId25" Type="http://schemas.openxmlformats.org/officeDocument/2006/relationships/oleObject" Target="../embeddings/oleObject12.bin"/><Relationship Id="rId24" Type="http://schemas.openxmlformats.org/officeDocument/2006/relationships/image" Target="../media/image11.wmf"/><Relationship Id="rId23" Type="http://schemas.openxmlformats.org/officeDocument/2006/relationships/oleObject" Target="../embeddings/oleObject11.bin"/><Relationship Id="rId22" Type="http://schemas.openxmlformats.org/officeDocument/2006/relationships/image" Target="../media/image10.wmf"/><Relationship Id="rId21" Type="http://schemas.openxmlformats.org/officeDocument/2006/relationships/oleObject" Target="../embeddings/oleObject10.bin"/><Relationship Id="rId20" Type="http://schemas.openxmlformats.org/officeDocument/2006/relationships/image" Target="../media/image9.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wmf"/><Relationship Id="rId17" Type="http://schemas.openxmlformats.org/officeDocument/2006/relationships/oleObject" Target="../embeddings/oleObject8.bin"/><Relationship Id="rId16" Type="http://schemas.openxmlformats.org/officeDocument/2006/relationships/image" Target="../media/image7.wmf"/><Relationship Id="rId15" Type="http://schemas.openxmlformats.org/officeDocument/2006/relationships/oleObject" Target="../embeddings/oleObject7.bin"/><Relationship Id="rId14" Type="http://schemas.openxmlformats.org/officeDocument/2006/relationships/image" Target="../media/image6.wmf"/><Relationship Id="rId13" Type="http://schemas.openxmlformats.org/officeDocument/2006/relationships/oleObject" Target="../embeddings/oleObject6.bin"/><Relationship Id="rId12" Type="http://schemas.openxmlformats.org/officeDocument/2006/relationships/image" Target="../media/image5.wmf"/><Relationship Id="rId11" Type="http://schemas.openxmlformats.org/officeDocument/2006/relationships/oleObject" Target="../embeddings/oleObject5.bin"/><Relationship Id="rId10" Type="http://schemas.openxmlformats.org/officeDocument/2006/relationships/image" Target="../media/image4.wmf"/><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oleObject" Target="../embeddings/oleObject83.bin"/><Relationship Id="rId98" Type="http://schemas.openxmlformats.org/officeDocument/2006/relationships/image" Target="../media/image57.wmf"/><Relationship Id="rId97" Type="http://schemas.openxmlformats.org/officeDocument/2006/relationships/oleObject" Target="../embeddings/oleObject82.bin"/><Relationship Id="rId96" Type="http://schemas.openxmlformats.org/officeDocument/2006/relationships/image" Target="../media/image56.wmf"/><Relationship Id="rId95" Type="http://schemas.openxmlformats.org/officeDocument/2006/relationships/oleObject" Target="../embeddings/oleObject81.bin"/><Relationship Id="rId94" Type="http://schemas.openxmlformats.org/officeDocument/2006/relationships/image" Target="../media/image55.wmf"/><Relationship Id="rId93" Type="http://schemas.openxmlformats.org/officeDocument/2006/relationships/oleObject" Target="../embeddings/oleObject80.bin"/><Relationship Id="rId92" Type="http://schemas.openxmlformats.org/officeDocument/2006/relationships/image" Target="../media/image54.wmf"/><Relationship Id="rId91" Type="http://schemas.openxmlformats.org/officeDocument/2006/relationships/oleObject" Target="../embeddings/oleObject79.bin"/><Relationship Id="rId90" Type="http://schemas.openxmlformats.org/officeDocument/2006/relationships/image" Target="../media/image53.wmf"/><Relationship Id="rId9" Type="http://schemas.openxmlformats.org/officeDocument/2006/relationships/oleObject" Target="../embeddings/oleObject38.bin"/><Relationship Id="rId89" Type="http://schemas.openxmlformats.org/officeDocument/2006/relationships/oleObject" Target="../embeddings/oleObject78.bin"/><Relationship Id="rId88" Type="http://schemas.openxmlformats.org/officeDocument/2006/relationships/image" Target="../media/image52.wmf"/><Relationship Id="rId87" Type="http://schemas.openxmlformats.org/officeDocument/2006/relationships/oleObject" Target="../embeddings/oleObject77.bin"/><Relationship Id="rId86" Type="http://schemas.openxmlformats.org/officeDocument/2006/relationships/image" Target="../media/image51.wmf"/><Relationship Id="rId85" Type="http://schemas.openxmlformats.org/officeDocument/2006/relationships/oleObject" Target="../embeddings/oleObject76.bin"/><Relationship Id="rId84" Type="http://schemas.openxmlformats.org/officeDocument/2006/relationships/image" Target="../media/image50.wmf"/><Relationship Id="rId83" Type="http://schemas.openxmlformats.org/officeDocument/2006/relationships/oleObject" Target="../embeddings/oleObject75.bin"/><Relationship Id="rId82" Type="http://schemas.openxmlformats.org/officeDocument/2006/relationships/image" Target="../media/image49.wmf"/><Relationship Id="rId81" Type="http://schemas.openxmlformats.org/officeDocument/2006/relationships/oleObject" Target="../embeddings/oleObject74.bin"/><Relationship Id="rId80" Type="http://schemas.openxmlformats.org/officeDocument/2006/relationships/image" Target="../media/image48.wmf"/><Relationship Id="rId8" Type="http://schemas.openxmlformats.org/officeDocument/2006/relationships/image" Target="../media/image37.wmf"/><Relationship Id="rId79" Type="http://schemas.openxmlformats.org/officeDocument/2006/relationships/oleObject" Target="../embeddings/oleObject73.bin"/><Relationship Id="rId78" Type="http://schemas.openxmlformats.org/officeDocument/2006/relationships/image" Target="../media/image47.wmf"/><Relationship Id="rId77" Type="http://schemas.openxmlformats.org/officeDocument/2006/relationships/oleObject" Target="../embeddings/oleObject72.bin"/><Relationship Id="rId76" Type="http://schemas.openxmlformats.org/officeDocument/2006/relationships/image" Target="../media/image46.wmf"/><Relationship Id="rId75" Type="http://schemas.openxmlformats.org/officeDocument/2006/relationships/oleObject" Target="../embeddings/oleObject71.bin"/><Relationship Id="rId74" Type="http://schemas.openxmlformats.org/officeDocument/2006/relationships/image" Target="../media/image45.wmf"/><Relationship Id="rId73" Type="http://schemas.openxmlformats.org/officeDocument/2006/relationships/oleObject" Target="../embeddings/oleObject70.bin"/><Relationship Id="rId72" Type="http://schemas.openxmlformats.org/officeDocument/2006/relationships/image" Target="../media/image44.wmf"/><Relationship Id="rId71" Type="http://schemas.openxmlformats.org/officeDocument/2006/relationships/oleObject" Target="../embeddings/oleObject69.bin"/><Relationship Id="rId70" Type="http://schemas.openxmlformats.org/officeDocument/2006/relationships/image" Target="../media/image43.wmf"/><Relationship Id="rId7" Type="http://schemas.openxmlformats.org/officeDocument/2006/relationships/oleObject" Target="../embeddings/oleObject37.bin"/><Relationship Id="rId69" Type="http://schemas.openxmlformats.org/officeDocument/2006/relationships/oleObject" Target="../embeddings/oleObject68.bin"/><Relationship Id="rId68" Type="http://schemas.openxmlformats.org/officeDocument/2006/relationships/image" Target="../media/image42.wmf"/><Relationship Id="rId67" Type="http://schemas.openxmlformats.org/officeDocument/2006/relationships/oleObject" Target="../embeddings/oleObject67.bin"/><Relationship Id="rId66" Type="http://schemas.openxmlformats.org/officeDocument/2006/relationships/image" Target="../media/image34.wmf"/><Relationship Id="rId65" Type="http://schemas.openxmlformats.org/officeDocument/2006/relationships/oleObject" Target="../embeddings/oleObject66.bin"/><Relationship Id="rId64" Type="http://schemas.openxmlformats.org/officeDocument/2006/relationships/image" Target="../media/image33.wmf"/><Relationship Id="rId63" Type="http://schemas.openxmlformats.org/officeDocument/2006/relationships/oleObject" Target="../embeddings/oleObject65.bin"/><Relationship Id="rId62" Type="http://schemas.openxmlformats.org/officeDocument/2006/relationships/image" Target="../media/image32.wmf"/><Relationship Id="rId61" Type="http://schemas.openxmlformats.org/officeDocument/2006/relationships/oleObject" Target="../embeddings/oleObject64.bin"/><Relationship Id="rId60" Type="http://schemas.openxmlformats.org/officeDocument/2006/relationships/image" Target="../media/image31.wmf"/><Relationship Id="rId6" Type="http://schemas.openxmlformats.org/officeDocument/2006/relationships/image" Target="../media/image36.wmf"/><Relationship Id="rId59" Type="http://schemas.openxmlformats.org/officeDocument/2006/relationships/oleObject" Target="../embeddings/oleObject63.bin"/><Relationship Id="rId58" Type="http://schemas.openxmlformats.org/officeDocument/2006/relationships/image" Target="../media/image41.wmf"/><Relationship Id="rId57" Type="http://schemas.openxmlformats.org/officeDocument/2006/relationships/oleObject" Target="../embeddings/oleObject62.bin"/><Relationship Id="rId56" Type="http://schemas.openxmlformats.org/officeDocument/2006/relationships/image" Target="../media/image27.wmf"/><Relationship Id="rId55" Type="http://schemas.openxmlformats.org/officeDocument/2006/relationships/oleObject" Target="../embeddings/oleObject61.bin"/><Relationship Id="rId54" Type="http://schemas.openxmlformats.org/officeDocument/2006/relationships/image" Target="../media/image26.wmf"/><Relationship Id="rId53" Type="http://schemas.openxmlformats.org/officeDocument/2006/relationships/oleObject" Target="../embeddings/oleObject60.bin"/><Relationship Id="rId52" Type="http://schemas.openxmlformats.org/officeDocument/2006/relationships/image" Target="../media/image25.wmf"/><Relationship Id="rId51" Type="http://schemas.openxmlformats.org/officeDocument/2006/relationships/oleObject" Target="../embeddings/oleObject59.bin"/><Relationship Id="rId50" Type="http://schemas.openxmlformats.org/officeDocument/2006/relationships/image" Target="../media/image24.wmf"/><Relationship Id="rId5" Type="http://schemas.openxmlformats.org/officeDocument/2006/relationships/oleObject" Target="../embeddings/oleObject36.bin"/><Relationship Id="rId49" Type="http://schemas.openxmlformats.org/officeDocument/2006/relationships/oleObject" Target="../embeddings/oleObject58.bin"/><Relationship Id="rId48" Type="http://schemas.openxmlformats.org/officeDocument/2006/relationships/image" Target="../media/image23.wmf"/><Relationship Id="rId47" Type="http://schemas.openxmlformats.org/officeDocument/2006/relationships/oleObject" Target="../embeddings/oleObject57.bin"/><Relationship Id="rId46" Type="http://schemas.openxmlformats.org/officeDocument/2006/relationships/image" Target="../media/image22.wmf"/><Relationship Id="rId45" Type="http://schemas.openxmlformats.org/officeDocument/2006/relationships/oleObject" Target="../embeddings/oleObject56.bin"/><Relationship Id="rId44" Type="http://schemas.openxmlformats.org/officeDocument/2006/relationships/image" Target="../media/image21.wmf"/><Relationship Id="rId43" Type="http://schemas.openxmlformats.org/officeDocument/2006/relationships/oleObject" Target="../embeddings/oleObject55.bin"/><Relationship Id="rId42" Type="http://schemas.openxmlformats.org/officeDocument/2006/relationships/image" Target="../media/image20.wmf"/><Relationship Id="rId41" Type="http://schemas.openxmlformats.org/officeDocument/2006/relationships/oleObject" Target="../embeddings/oleObject54.bin"/><Relationship Id="rId40" Type="http://schemas.openxmlformats.org/officeDocument/2006/relationships/image" Target="../media/image19.wmf"/><Relationship Id="rId4" Type="http://schemas.openxmlformats.org/officeDocument/2006/relationships/image" Target="../media/image35.wmf"/><Relationship Id="rId39" Type="http://schemas.openxmlformats.org/officeDocument/2006/relationships/oleObject" Target="../embeddings/oleObject53.bin"/><Relationship Id="rId38" Type="http://schemas.openxmlformats.org/officeDocument/2006/relationships/image" Target="../media/image18.wmf"/><Relationship Id="rId37" Type="http://schemas.openxmlformats.org/officeDocument/2006/relationships/oleObject" Target="../embeddings/oleObject52.bin"/><Relationship Id="rId36" Type="http://schemas.openxmlformats.org/officeDocument/2006/relationships/image" Target="../media/image17.wmf"/><Relationship Id="rId35" Type="http://schemas.openxmlformats.org/officeDocument/2006/relationships/oleObject" Target="../embeddings/oleObject51.bin"/><Relationship Id="rId34" Type="http://schemas.openxmlformats.org/officeDocument/2006/relationships/image" Target="../media/image16.wmf"/><Relationship Id="rId33" Type="http://schemas.openxmlformats.org/officeDocument/2006/relationships/oleObject" Target="../embeddings/oleObject50.bin"/><Relationship Id="rId32" Type="http://schemas.openxmlformats.org/officeDocument/2006/relationships/image" Target="../media/image15.wmf"/><Relationship Id="rId31" Type="http://schemas.openxmlformats.org/officeDocument/2006/relationships/oleObject" Target="../embeddings/oleObject49.bin"/><Relationship Id="rId30" Type="http://schemas.openxmlformats.org/officeDocument/2006/relationships/image" Target="../media/image14.wmf"/><Relationship Id="rId3" Type="http://schemas.openxmlformats.org/officeDocument/2006/relationships/oleObject" Target="../embeddings/oleObject35.bin"/><Relationship Id="rId29" Type="http://schemas.openxmlformats.org/officeDocument/2006/relationships/oleObject" Target="../embeddings/oleObject48.bin"/><Relationship Id="rId28" Type="http://schemas.openxmlformats.org/officeDocument/2006/relationships/image" Target="../media/image13.wmf"/><Relationship Id="rId27" Type="http://schemas.openxmlformats.org/officeDocument/2006/relationships/oleObject" Target="../embeddings/oleObject47.bin"/><Relationship Id="rId26" Type="http://schemas.openxmlformats.org/officeDocument/2006/relationships/image" Target="../media/image12.wmf"/><Relationship Id="rId25" Type="http://schemas.openxmlformats.org/officeDocument/2006/relationships/oleObject" Target="../embeddings/oleObject46.bin"/><Relationship Id="rId24" Type="http://schemas.openxmlformats.org/officeDocument/2006/relationships/image" Target="../media/image11.wmf"/><Relationship Id="rId23" Type="http://schemas.openxmlformats.org/officeDocument/2006/relationships/oleObject" Target="../embeddings/oleObject45.bin"/><Relationship Id="rId22" Type="http://schemas.openxmlformats.org/officeDocument/2006/relationships/image" Target="../media/image10.wmf"/><Relationship Id="rId21" Type="http://schemas.openxmlformats.org/officeDocument/2006/relationships/oleObject" Target="../embeddings/oleObject44.bin"/><Relationship Id="rId20" Type="http://schemas.openxmlformats.org/officeDocument/2006/relationships/image" Target="../media/image9.wmf"/><Relationship Id="rId2" Type="http://schemas.openxmlformats.org/officeDocument/2006/relationships/vmlDrawing" Target="../drawings/vmlDrawing2.vml"/><Relationship Id="rId19" Type="http://schemas.openxmlformats.org/officeDocument/2006/relationships/oleObject" Target="../embeddings/oleObject43.bin"/><Relationship Id="rId18" Type="http://schemas.openxmlformats.org/officeDocument/2006/relationships/image" Target="../media/image8.wmf"/><Relationship Id="rId17" Type="http://schemas.openxmlformats.org/officeDocument/2006/relationships/oleObject" Target="../embeddings/oleObject42.bin"/><Relationship Id="rId16" Type="http://schemas.openxmlformats.org/officeDocument/2006/relationships/image" Target="../media/image7.wmf"/><Relationship Id="rId15" Type="http://schemas.openxmlformats.org/officeDocument/2006/relationships/oleObject" Target="../embeddings/oleObject41.bin"/><Relationship Id="rId14" Type="http://schemas.openxmlformats.org/officeDocument/2006/relationships/image" Target="../media/image40.wmf"/><Relationship Id="rId13" Type="http://schemas.openxmlformats.org/officeDocument/2006/relationships/oleObject" Target="../embeddings/oleObject40.bin"/><Relationship Id="rId12" Type="http://schemas.openxmlformats.org/officeDocument/2006/relationships/image" Target="../media/image39.wmf"/><Relationship Id="rId11" Type="http://schemas.openxmlformats.org/officeDocument/2006/relationships/oleObject" Target="../embeddings/oleObject39.bin"/><Relationship Id="rId105" Type="http://schemas.openxmlformats.org/officeDocument/2006/relationships/oleObject" Target="../embeddings/oleObject86.bin"/><Relationship Id="rId104" Type="http://schemas.openxmlformats.org/officeDocument/2006/relationships/image" Target="../media/image60.wmf"/><Relationship Id="rId103" Type="http://schemas.openxmlformats.org/officeDocument/2006/relationships/oleObject" Target="../embeddings/oleObject85.bin"/><Relationship Id="rId102" Type="http://schemas.openxmlformats.org/officeDocument/2006/relationships/image" Target="../media/image59.wmf"/><Relationship Id="rId101" Type="http://schemas.openxmlformats.org/officeDocument/2006/relationships/oleObject" Target="../embeddings/oleObject84.bin"/><Relationship Id="rId100" Type="http://schemas.openxmlformats.org/officeDocument/2006/relationships/image" Target="../media/image58.wmf"/><Relationship Id="rId10" Type="http://schemas.openxmlformats.org/officeDocument/2006/relationships/image" Target="../media/image38.wmf"/><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9" Type="http://schemas.openxmlformats.org/officeDocument/2006/relationships/oleObject" Target="../embeddings/oleObject135.bin"/><Relationship Id="rId98" Type="http://schemas.openxmlformats.org/officeDocument/2006/relationships/image" Target="../media/image57.wmf"/><Relationship Id="rId97" Type="http://schemas.openxmlformats.org/officeDocument/2006/relationships/oleObject" Target="../embeddings/oleObject134.bin"/><Relationship Id="rId96" Type="http://schemas.openxmlformats.org/officeDocument/2006/relationships/image" Target="../media/image56.wmf"/><Relationship Id="rId95" Type="http://schemas.openxmlformats.org/officeDocument/2006/relationships/oleObject" Target="../embeddings/oleObject133.bin"/><Relationship Id="rId94" Type="http://schemas.openxmlformats.org/officeDocument/2006/relationships/image" Target="../media/image55.wmf"/><Relationship Id="rId93" Type="http://schemas.openxmlformats.org/officeDocument/2006/relationships/oleObject" Target="../embeddings/oleObject132.bin"/><Relationship Id="rId92" Type="http://schemas.openxmlformats.org/officeDocument/2006/relationships/image" Target="../media/image54.wmf"/><Relationship Id="rId91" Type="http://schemas.openxmlformats.org/officeDocument/2006/relationships/oleObject" Target="../embeddings/oleObject131.bin"/><Relationship Id="rId90" Type="http://schemas.openxmlformats.org/officeDocument/2006/relationships/image" Target="../media/image53.wmf"/><Relationship Id="rId9" Type="http://schemas.openxmlformats.org/officeDocument/2006/relationships/oleObject" Target="../embeddings/oleObject90.bin"/><Relationship Id="rId89" Type="http://schemas.openxmlformats.org/officeDocument/2006/relationships/oleObject" Target="../embeddings/oleObject130.bin"/><Relationship Id="rId88" Type="http://schemas.openxmlformats.org/officeDocument/2006/relationships/image" Target="../media/image52.wmf"/><Relationship Id="rId87" Type="http://schemas.openxmlformats.org/officeDocument/2006/relationships/oleObject" Target="../embeddings/oleObject129.bin"/><Relationship Id="rId86" Type="http://schemas.openxmlformats.org/officeDocument/2006/relationships/image" Target="../media/image51.wmf"/><Relationship Id="rId85" Type="http://schemas.openxmlformats.org/officeDocument/2006/relationships/oleObject" Target="../embeddings/oleObject128.bin"/><Relationship Id="rId84" Type="http://schemas.openxmlformats.org/officeDocument/2006/relationships/image" Target="../media/image50.wmf"/><Relationship Id="rId83" Type="http://schemas.openxmlformats.org/officeDocument/2006/relationships/oleObject" Target="../embeddings/oleObject127.bin"/><Relationship Id="rId82" Type="http://schemas.openxmlformats.org/officeDocument/2006/relationships/image" Target="../media/image49.wmf"/><Relationship Id="rId81" Type="http://schemas.openxmlformats.org/officeDocument/2006/relationships/oleObject" Target="../embeddings/oleObject126.bin"/><Relationship Id="rId80" Type="http://schemas.openxmlformats.org/officeDocument/2006/relationships/image" Target="../media/image48.wmf"/><Relationship Id="rId8" Type="http://schemas.openxmlformats.org/officeDocument/2006/relationships/image" Target="../media/image37.wmf"/><Relationship Id="rId79" Type="http://schemas.openxmlformats.org/officeDocument/2006/relationships/oleObject" Target="../embeddings/oleObject125.bin"/><Relationship Id="rId78" Type="http://schemas.openxmlformats.org/officeDocument/2006/relationships/image" Target="../media/image47.wmf"/><Relationship Id="rId77" Type="http://schemas.openxmlformats.org/officeDocument/2006/relationships/oleObject" Target="../embeddings/oleObject124.bin"/><Relationship Id="rId76" Type="http://schemas.openxmlformats.org/officeDocument/2006/relationships/image" Target="../media/image46.wmf"/><Relationship Id="rId75" Type="http://schemas.openxmlformats.org/officeDocument/2006/relationships/oleObject" Target="../embeddings/oleObject123.bin"/><Relationship Id="rId74" Type="http://schemas.openxmlformats.org/officeDocument/2006/relationships/image" Target="../media/image45.wmf"/><Relationship Id="rId73" Type="http://schemas.openxmlformats.org/officeDocument/2006/relationships/oleObject" Target="../embeddings/oleObject122.bin"/><Relationship Id="rId72" Type="http://schemas.openxmlformats.org/officeDocument/2006/relationships/image" Target="../media/image44.wmf"/><Relationship Id="rId71" Type="http://schemas.openxmlformats.org/officeDocument/2006/relationships/oleObject" Target="../embeddings/oleObject121.bin"/><Relationship Id="rId70" Type="http://schemas.openxmlformats.org/officeDocument/2006/relationships/image" Target="../media/image43.wmf"/><Relationship Id="rId7" Type="http://schemas.openxmlformats.org/officeDocument/2006/relationships/oleObject" Target="../embeddings/oleObject89.bin"/><Relationship Id="rId69" Type="http://schemas.openxmlformats.org/officeDocument/2006/relationships/oleObject" Target="../embeddings/oleObject120.bin"/><Relationship Id="rId68" Type="http://schemas.openxmlformats.org/officeDocument/2006/relationships/image" Target="../media/image42.wmf"/><Relationship Id="rId67" Type="http://schemas.openxmlformats.org/officeDocument/2006/relationships/oleObject" Target="../embeddings/oleObject119.bin"/><Relationship Id="rId66" Type="http://schemas.openxmlformats.org/officeDocument/2006/relationships/image" Target="../media/image34.wmf"/><Relationship Id="rId65" Type="http://schemas.openxmlformats.org/officeDocument/2006/relationships/oleObject" Target="../embeddings/oleObject118.bin"/><Relationship Id="rId64" Type="http://schemas.openxmlformats.org/officeDocument/2006/relationships/image" Target="../media/image33.wmf"/><Relationship Id="rId63" Type="http://schemas.openxmlformats.org/officeDocument/2006/relationships/oleObject" Target="../embeddings/oleObject117.bin"/><Relationship Id="rId62" Type="http://schemas.openxmlformats.org/officeDocument/2006/relationships/image" Target="../media/image32.wmf"/><Relationship Id="rId61" Type="http://schemas.openxmlformats.org/officeDocument/2006/relationships/oleObject" Target="../embeddings/oleObject116.bin"/><Relationship Id="rId60" Type="http://schemas.openxmlformats.org/officeDocument/2006/relationships/image" Target="../media/image31.wmf"/><Relationship Id="rId6" Type="http://schemas.openxmlformats.org/officeDocument/2006/relationships/image" Target="../media/image36.wmf"/><Relationship Id="rId59" Type="http://schemas.openxmlformats.org/officeDocument/2006/relationships/oleObject" Target="../embeddings/oleObject115.bin"/><Relationship Id="rId58" Type="http://schemas.openxmlformats.org/officeDocument/2006/relationships/image" Target="../media/image41.wmf"/><Relationship Id="rId57" Type="http://schemas.openxmlformats.org/officeDocument/2006/relationships/oleObject" Target="../embeddings/oleObject114.bin"/><Relationship Id="rId56" Type="http://schemas.openxmlformats.org/officeDocument/2006/relationships/image" Target="../media/image27.wmf"/><Relationship Id="rId55" Type="http://schemas.openxmlformats.org/officeDocument/2006/relationships/oleObject" Target="../embeddings/oleObject113.bin"/><Relationship Id="rId54" Type="http://schemas.openxmlformats.org/officeDocument/2006/relationships/image" Target="../media/image26.wmf"/><Relationship Id="rId53" Type="http://schemas.openxmlformats.org/officeDocument/2006/relationships/oleObject" Target="../embeddings/oleObject112.bin"/><Relationship Id="rId52" Type="http://schemas.openxmlformats.org/officeDocument/2006/relationships/image" Target="../media/image25.wmf"/><Relationship Id="rId51" Type="http://schemas.openxmlformats.org/officeDocument/2006/relationships/oleObject" Target="../embeddings/oleObject111.bin"/><Relationship Id="rId50" Type="http://schemas.openxmlformats.org/officeDocument/2006/relationships/image" Target="../media/image24.wmf"/><Relationship Id="rId5" Type="http://schemas.openxmlformats.org/officeDocument/2006/relationships/oleObject" Target="../embeddings/oleObject88.bin"/><Relationship Id="rId49" Type="http://schemas.openxmlformats.org/officeDocument/2006/relationships/oleObject" Target="../embeddings/oleObject110.bin"/><Relationship Id="rId48" Type="http://schemas.openxmlformats.org/officeDocument/2006/relationships/image" Target="../media/image23.wmf"/><Relationship Id="rId47" Type="http://schemas.openxmlformats.org/officeDocument/2006/relationships/oleObject" Target="../embeddings/oleObject109.bin"/><Relationship Id="rId46" Type="http://schemas.openxmlformats.org/officeDocument/2006/relationships/image" Target="../media/image22.wmf"/><Relationship Id="rId45" Type="http://schemas.openxmlformats.org/officeDocument/2006/relationships/oleObject" Target="../embeddings/oleObject108.bin"/><Relationship Id="rId44" Type="http://schemas.openxmlformats.org/officeDocument/2006/relationships/image" Target="../media/image21.wmf"/><Relationship Id="rId43" Type="http://schemas.openxmlformats.org/officeDocument/2006/relationships/oleObject" Target="../embeddings/oleObject107.bin"/><Relationship Id="rId42" Type="http://schemas.openxmlformats.org/officeDocument/2006/relationships/image" Target="../media/image20.wmf"/><Relationship Id="rId41" Type="http://schemas.openxmlformats.org/officeDocument/2006/relationships/oleObject" Target="../embeddings/oleObject106.bin"/><Relationship Id="rId40" Type="http://schemas.openxmlformats.org/officeDocument/2006/relationships/image" Target="../media/image19.wmf"/><Relationship Id="rId4" Type="http://schemas.openxmlformats.org/officeDocument/2006/relationships/image" Target="../media/image35.wmf"/><Relationship Id="rId39" Type="http://schemas.openxmlformats.org/officeDocument/2006/relationships/oleObject" Target="../embeddings/oleObject105.bin"/><Relationship Id="rId38" Type="http://schemas.openxmlformats.org/officeDocument/2006/relationships/image" Target="../media/image18.wmf"/><Relationship Id="rId37" Type="http://schemas.openxmlformats.org/officeDocument/2006/relationships/oleObject" Target="../embeddings/oleObject104.bin"/><Relationship Id="rId36" Type="http://schemas.openxmlformats.org/officeDocument/2006/relationships/image" Target="../media/image17.wmf"/><Relationship Id="rId35" Type="http://schemas.openxmlformats.org/officeDocument/2006/relationships/oleObject" Target="../embeddings/oleObject103.bin"/><Relationship Id="rId34" Type="http://schemas.openxmlformats.org/officeDocument/2006/relationships/image" Target="../media/image16.wmf"/><Relationship Id="rId33" Type="http://schemas.openxmlformats.org/officeDocument/2006/relationships/oleObject" Target="../embeddings/oleObject102.bin"/><Relationship Id="rId32" Type="http://schemas.openxmlformats.org/officeDocument/2006/relationships/image" Target="../media/image15.wmf"/><Relationship Id="rId31" Type="http://schemas.openxmlformats.org/officeDocument/2006/relationships/oleObject" Target="../embeddings/oleObject101.bin"/><Relationship Id="rId30" Type="http://schemas.openxmlformats.org/officeDocument/2006/relationships/image" Target="../media/image14.wmf"/><Relationship Id="rId3" Type="http://schemas.openxmlformats.org/officeDocument/2006/relationships/oleObject" Target="../embeddings/oleObject87.bin"/><Relationship Id="rId29" Type="http://schemas.openxmlformats.org/officeDocument/2006/relationships/oleObject" Target="../embeddings/oleObject100.bin"/><Relationship Id="rId28" Type="http://schemas.openxmlformats.org/officeDocument/2006/relationships/image" Target="../media/image13.wmf"/><Relationship Id="rId27" Type="http://schemas.openxmlformats.org/officeDocument/2006/relationships/oleObject" Target="../embeddings/oleObject99.bin"/><Relationship Id="rId26" Type="http://schemas.openxmlformats.org/officeDocument/2006/relationships/image" Target="../media/image12.wmf"/><Relationship Id="rId25" Type="http://schemas.openxmlformats.org/officeDocument/2006/relationships/oleObject" Target="../embeddings/oleObject98.bin"/><Relationship Id="rId24" Type="http://schemas.openxmlformats.org/officeDocument/2006/relationships/image" Target="../media/image11.wmf"/><Relationship Id="rId23" Type="http://schemas.openxmlformats.org/officeDocument/2006/relationships/oleObject" Target="../embeddings/oleObject97.bin"/><Relationship Id="rId22" Type="http://schemas.openxmlformats.org/officeDocument/2006/relationships/image" Target="../media/image10.wmf"/><Relationship Id="rId21" Type="http://schemas.openxmlformats.org/officeDocument/2006/relationships/oleObject" Target="../embeddings/oleObject96.bin"/><Relationship Id="rId20" Type="http://schemas.openxmlformats.org/officeDocument/2006/relationships/image" Target="../media/image9.wmf"/><Relationship Id="rId2" Type="http://schemas.openxmlformats.org/officeDocument/2006/relationships/vmlDrawing" Target="../drawings/vmlDrawing3.vml"/><Relationship Id="rId19" Type="http://schemas.openxmlformats.org/officeDocument/2006/relationships/oleObject" Target="../embeddings/oleObject95.bin"/><Relationship Id="rId18" Type="http://schemas.openxmlformats.org/officeDocument/2006/relationships/image" Target="../media/image8.wmf"/><Relationship Id="rId17" Type="http://schemas.openxmlformats.org/officeDocument/2006/relationships/oleObject" Target="../embeddings/oleObject94.bin"/><Relationship Id="rId16" Type="http://schemas.openxmlformats.org/officeDocument/2006/relationships/image" Target="../media/image7.wmf"/><Relationship Id="rId15" Type="http://schemas.openxmlformats.org/officeDocument/2006/relationships/oleObject" Target="../embeddings/oleObject93.bin"/><Relationship Id="rId14" Type="http://schemas.openxmlformats.org/officeDocument/2006/relationships/image" Target="../media/image40.wmf"/><Relationship Id="rId13" Type="http://schemas.openxmlformats.org/officeDocument/2006/relationships/oleObject" Target="../embeddings/oleObject92.bin"/><Relationship Id="rId12" Type="http://schemas.openxmlformats.org/officeDocument/2006/relationships/image" Target="../media/image39.wmf"/><Relationship Id="rId11" Type="http://schemas.openxmlformats.org/officeDocument/2006/relationships/oleObject" Target="../embeddings/oleObject91.bin"/><Relationship Id="rId105" Type="http://schemas.openxmlformats.org/officeDocument/2006/relationships/oleObject" Target="../embeddings/oleObject138.bin"/><Relationship Id="rId104" Type="http://schemas.openxmlformats.org/officeDocument/2006/relationships/image" Target="../media/image60.wmf"/><Relationship Id="rId103" Type="http://schemas.openxmlformats.org/officeDocument/2006/relationships/oleObject" Target="../embeddings/oleObject137.bin"/><Relationship Id="rId102" Type="http://schemas.openxmlformats.org/officeDocument/2006/relationships/image" Target="../media/image59.wmf"/><Relationship Id="rId101" Type="http://schemas.openxmlformats.org/officeDocument/2006/relationships/oleObject" Target="../embeddings/oleObject136.bin"/><Relationship Id="rId100" Type="http://schemas.openxmlformats.org/officeDocument/2006/relationships/image" Target="../media/image58.wmf"/><Relationship Id="rId10" Type="http://schemas.openxmlformats.org/officeDocument/2006/relationships/image" Target="../media/image38.wmf"/><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99" Type="http://schemas.openxmlformats.org/officeDocument/2006/relationships/oleObject" Target="../embeddings/oleObject187.bin"/><Relationship Id="rId98" Type="http://schemas.openxmlformats.org/officeDocument/2006/relationships/image" Target="../media/image108.wmf"/><Relationship Id="rId97" Type="http://schemas.openxmlformats.org/officeDocument/2006/relationships/oleObject" Target="../embeddings/oleObject186.bin"/><Relationship Id="rId96" Type="http://schemas.openxmlformats.org/officeDocument/2006/relationships/image" Target="../media/image107.wmf"/><Relationship Id="rId95" Type="http://schemas.openxmlformats.org/officeDocument/2006/relationships/oleObject" Target="../embeddings/oleObject185.bin"/><Relationship Id="rId94" Type="http://schemas.openxmlformats.org/officeDocument/2006/relationships/image" Target="../media/image106.wmf"/><Relationship Id="rId93" Type="http://schemas.openxmlformats.org/officeDocument/2006/relationships/oleObject" Target="../embeddings/oleObject184.bin"/><Relationship Id="rId92" Type="http://schemas.openxmlformats.org/officeDocument/2006/relationships/image" Target="../media/image105.wmf"/><Relationship Id="rId91" Type="http://schemas.openxmlformats.org/officeDocument/2006/relationships/oleObject" Target="../embeddings/oleObject183.bin"/><Relationship Id="rId90" Type="http://schemas.openxmlformats.org/officeDocument/2006/relationships/image" Target="../media/image104.wmf"/><Relationship Id="rId9" Type="http://schemas.openxmlformats.org/officeDocument/2006/relationships/oleObject" Target="../embeddings/oleObject142.bin"/><Relationship Id="rId89" Type="http://schemas.openxmlformats.org/officeDocument/2006/relationships/oleObject" Target="../embeddings/oleObject182.bin"/><Relationship Id="rId88" Type="http://schemas.openxmlformats.org/officeDocument/2006/relationships/image" Target="../media/image103.wmf"/><Relationship Id="rId87" Type="http://schemas.openxmlformats.org/officeDocument/2006/relationships/oleObject" Target="../embeddings/oleObject181.bin"/><Relationship Id="rId86" Type="http://schemas.openxmlformats.org/officeDocument/2006/relationships/image" Target="../media/image102.wmf"/><Relationship Id="rId85" Type="http://schemas.openxmlformats.org/officeDocument/2006/relationships/oleObject" Target="../embeddings/oleObject180.bin"/><Relationship Id="rId84" Type="http://schemas.openxmlformats.org/officeDocument/2006/relationships/image" Target="../media/image101.wmf"/><Relationship Id="rId83" Type="http://schemas.openxmlformats.org/officeDocument/2006/relationships/oleObject" Target="../embeddings/oleObject179.bin"/><Relationship Id="rId82" Type="http://schemas.openxmlformats.org/officeDocument/2006/relationships/image" Target="../media/image100.wmf"/><Relationship Id="rId81" Type="http://schemas.openxmlformats.org/officeDocument/2006/relationships/oleObject" Target="../embeddings/oleObject178.bin"/><Relationship Id="rId80" Type="http://schemas.openxmlformats.org/officeDocument/2006/relationships/image" Target="../media/image99.wmf"/><Relationship Id="rId8" Type="http://schemas.openxmlformats.org/officeDocument/2006/relationships/image" Target="../media/image63.wmf"/><Relationship Id="rId79" Type="http://schemas.openxmlformats.org/officeDocument/2006/relationships/oleObject" Target="../embeddings/oleObject177.bin"/><Relationship Id="rId78" Type="http://schemas.openxmlformats.org/officeDocument/2006/relationships/image" Target="../media/image98.wmf"/><Relationship Id="rId77" Type="http://schemas.openxmlformats.org/officeDocument/2006/relationships/oleObject" Target="../embeddings/oleObject176.bin"/><Relationship Id="rId76" Type="http://schemas.openxmlformats.org/officeDocument/2006/relationships/image" Target="../media/image97.wmf"/><Relationship Id="rId75" Type="http://schemas.openxmlformats.org/officeDocument/2006/relationships/oleObject" Target="../embeddings/oleObject175.bin"/><Relationship Id="rId74" Type="http://schemas.openxmlformats.org/officeDocument/2006/relationships/image" Target="../media/image96.wmf"/><Relationship Id="rId73" Type="http://schemas.openxmlformats.org/officeDocument/2006/relationships/oleObject" Target="../embeddings/oleObject174.bin"/><Relationship Id="rId72" Type="http://schemas.openxmlformats.org/officeDocument/2006/relationships/image" Target="../media/image95.wmf"/><Relationship Id="rId71" Type="http://schemas.openxmlformats.org/officeDocument/2006/relationships/oleObject" Target="../embeddings/oleObject173.bin"/><Relationship Id="rId70" Type="http://schemas.openxmlformats.org/officeDocument/2006/relationships/image" Target="../media/image94.wmf"/><Relationship Id="rId7" Type="http://schemas.openxmlformats.org/officeDocument/2006/relationships/oleObject" Target="../embeddings/oleObject141.bin"/><Relationship Id="rId69" Type="http://schemas.openxmlformats.org/officeDocument/2006/relationships/oleObject" Target="../embeddings/oleObject172.bin"/><Relationship Id="rId68" Type="http://schemas.openxmlformats.org/officeDocument/2006/relationships/image" Target="../media/image93.wmf"/><Relationship Id="rId67" Type="http://schemas.openxmlformats.org/officeDocument/2006/relationships/oleObject" Target="../embeddings/oleObject171.bin"/><Relationship Id="rId66" Type="http://schemas.openxmlformats.org/officeDocument/2006/relationships/image" Target="../media/image92.wmf"/><Relationship Id="rId65" Type="http://schemas.openxmlformats.org/officeDocument/2006/relationships/oleObject" Target="../embeddings/oleObject170.bin"/><Relationship Id="rId64" Type="http://schemas.openxmlformats.org/officeDocument/2006/relationships/image" Target="../media/image91.wmf"/><Relationship Id="rId63" Type="http://schemas.openxmlformats.org/officeDocument/2006/relationships/oleObject" Target="../embeddings/oleObject169.bin"/><Relationship Id="rId62" Type="http://schemas.openxmlformats.org/officeDocument/2006/relationships/image" Target="../media/image90.wmf"/><Relationship Id="rId61" Type="http://schemas.openxmlformats.org/officeDocument/2006/relationships/oleObject" Target="../embeddings/oleObject168.bin"/><Relationship Id="rId60" Type="http://schemas.openxmlformats.org/officeDocument/2006/relationships/image" Target="../media/image89.wmf"/><Relationship Id="rId6" Type="http://schemas.openxmlformats.org/officeDocument/2006/relationships/image" Target="../media/image62.wmf"/><Relationship Id="rId59" Type="http://schemas.openxmlformats.org/officeDocument/2006/relationships/oleObject" Target="../embeddings/oleObject167.bin"/><Relationship Id="rId58" Type="http://schemas.openxmlformats.org/officeDocument/2006/relationships/image" Target="../media/image88.wmf"/><Relationship Id="rId57" Type="http://schemas.openxmlformats.org/officeDocument/2006/relationships/oleObject" Target="../embeddings/oleObject166.bin"/><Relationship Id="rId56" Type="http://schemas.openxmlformats.org/officeDocument/2006/relationships/image" Target="../media/image87.wmf"/><Relationship Id="rId55" Type="http://schemas.openxmlformats.org/officeDocument/2006/relationships/oleObject" Target="../embeddings/oleObject165.bin"/><Relationship Id="rId54" Type="http://schemas.openxmlformats.org/officeDocument/2006/relationships/image" Target="../media/image86.wmf"/><Relationship Id="rId53" Type="http://schemas.openxmlformats.org/officeDocument/2006/relationships/oleObject" Target="../embeddings/oleObject164.bin"/><Relationship Id="rId52" Type="http://schemas.openxmlformats.org/officeDocument/2006/relationships/image" Target="../media/image85.wmf"/><Relationship Id="rId51" Type="http://schemas.openxmlformats.org/officeDocument/2006/relationships/oleObject" Target="../embeddings/oleObject163.bin"/><Relationship Id="rId50" Type="http://schemas.openxmlformats.org/officeDocument/2006/relationships/image" Target="../media/image84.wmf"/><Relationship Id="rId5" Type="http://schemas.openxmlformats.org/officeDocument/2006/relationships/oleObject" Target="../embeddings/oleObject140.bin"/><Relationship Id="rId49" Type="http://schemas.openxmlformats.org/officeDocument/2006/relationships/oleObject" Target="../embeddings/oleObject162.bin"/><Relationship Id="rId48" Type="http://schemas.openxmlformats.org/officeDocument/2006/relationships/image" Target="../media/image83.wmf"/><Relationship Id="rId47" Type="http://schemas.openxmlformats.org/officeDocument/2006/relationships/oleObject" Target="../embeddings/oleObject161.bin"/><Relationship Id="rId46" Type="http://schemas.openxmlformats.org/officeDocument/2006/relationships/image" Target="../media/image82.wmf"/><Relationship Id="rId45" Type="http://schemas.openxmlformats.org/officeDocument/2006/relationships/oleObject" Target="../embeddings/oleObject160.bin"/><Relationship Id="rId44" Type="http://schemas.openxmlformats.org/officeDocument/2006/relationships/image" Target="../media/image81.wmf"/><Relationship Id="rId43" Type="http://schemas.openxmlformats.org/officeDocument/2006/relationships/oleObject" Target="../embeddings/oleObject159.bin"/><Relationship Id="rId42" Type="http://schemas.openxmlformats.org/officeDocument/2006/relationships/image" Target="../media/image80.wmf"/><Relationship Id="rId41" Type="http://schemas.openxmlformats.org/officeDocument/2006/relationships/oleObject" Target="../embeddings/oleObject158.bin"/><Relationship Id="rId40" Type="http://schemas.openxmlformats.org/officeDocument/2006/relationships/image" Target="../media/image79.wmf"/><Relationship Id="rId4" Type="http://schemas.openxmlformats.org/officeDocument/2006/relationships/image" Target="../media/image61.wmf"/><Relationship Id="rId39" Type="http://schemas.openxmlformats.org/officeDocument/2006/relationships/oleObject" Target="../embeddings/oleObject157.bin"/><Relationship Id="rId38" Type="http://schemas.openxmlformats.org/officeDocument/2006/relationships/image" Target="../media/image78.wmf"/><Relationship Id="rId37" Type="http://schemas.openxmlformats.org/officeDocument/2006/relationships/oleObject" Target="../embeddings/oleObject156.bin"/><Relationship Id="rId36" Type="http://schemas.openxmlformats.org/officeDocument/2006/relationships/image" Target="../media/image77.wmf"/><Relationship Id="rId35" Type="http://schemas.openxmlformats.org/officeDocument/2006/relationships/oleObject" Target="../embeddings/oleObject155.bin"/><Relationship Id="rId34" Type="http://schemas.openxmlformats.org/officeDocument/2006/relationships/image" Target="../media/image76.wmf"/><Relationship Id="rId33" Type="http://schemas.openxmlformats.org/officeDocument/2006/relationships/oleObject" Target="../embeddings/oleObject154.bin"/><Relationship Id="rId32" Type="http://schemas.openxmlformats.org/officeDocument/2006/relationships/image" Target="../media/image75.wmf"/><Relationship Id="rId31" Type="http://schemas.openxmlformats.org/officeDocument/2006/relationships/oleObject" Target="../embeddings/oleObject153.bin"/><Relationship Id="rId30" Type="http://schemas.openxmlformats.org/officeDocument/2006/relationships/image" Target="../media/image74.wmf"/><Relationship Id="rId3" Type="http://schemas.openxmlformats.org/officeDocument/2006/relationships/oleObject" Target="../embeddings/oleObject139.bin"/><Relationship Id="rId29" Type="http://schemas.openxmlformats.org/officeDocument/2006/relationships/oleObject" Target="../embeddings/oleObject152.bin"/><Relationship Id="rId28" Type="http://schemas.openxmlformats.org/officeDocument/2006/relationships/image" Target="../media/image73.wmf"/><Relationship Id="rId27" Type="http://schemas.openxmlformats.org/officeDocument/2006/relationships/oleObject" Target="../embeddings/oleObject151.bin"/><Relationship Id="rId26" Type="http://schemas.openxmlformats.org/officeDocument/2006/relationships/image" Target="../media/image72.wmf"/><Relationship Id="rId25" Type="http://schemas.openxmlformats.org/officeDocument/2006/relationships/oleObject" Target="../embeddings/oleObject150.bin"/><Relationship Id="rId24" Type="http://schemas.openxmlformats.org/officeDocument/2006/relationships/image" Target="../media/image71.wmf"/><Relationship Id="rId23" Type="http://schemas.openxmlformats.org/officeDocument/2006/relationships/oleObject" Target="../embeddings/oleObject149.bin"/><Relationship Id="rId22" Type="http://schemas.openxmlformats.org/officeDocument/2006/relationships/image" Target="../media/image70.wmf"/><Relationship Id="rId21" Type="http://schemas.openxmlformats.org/officeDocument/2006/relationships/oleObject" Target="../embeddings/oleObject148.bin"/><Relationship Id="rId20" Type="http://schemas.openxmlformats.org/officeDocument/2006/relationships/image" Target="../media/image69.wmf"/><Relationship Id="rId2" Type="http://schemas.openxmlformats.org/officeDocument/2006/relationships/vmlDrawing" Target="../drawings/vmlDrawing4.vml"/><Relationship Id="rId19" Type="http://schemas.openxmlformats.org/officeDocument/2006/relationships/oleObject" Target="../embeddings/oleObject147.bin"/><Relationship Id="rId18" Type="http://schemas.openxmlformats.org/officeDocument/2006/relationships/image" Target="../media/image68.wmf"/><Relationship Id="rId17" Type="http://schemas.openxmlformats.org/officeDocument/2006/relationships/oleObject" Target="../embeddings/oleObject146.bin"/><Relationship Id="rId16" Type="http://schemas.openxmlformats.org/officeDocument/2006/relationships/image" Target="../media/image67.wmf"/><Relationship Id="rId15" Type="http://schemas.openxmlformats.org/officeDocument/2006/relationships/oleObject" Target="../embeddings/oleObject145.bin"/><Relationship Id="rId14" Type="http://schemas.openxmlformats.org/officeDocument/2006/relationships/image" Target="../media/image66.wmf"/><Relationship Id="rId132" Type="http://schemas.openxmlformats.org/officeDocument/2006/relationships/image" Target="../media/image124.wmf"/><Relationship Id="rId131" Type="http://schemas.openxmlformats.org/officeDocument/2006/relationships/oleObject" Target="../embeddings/oleObject204.bin"/><Relationship Id="rId130" Type="http://schemas.openxmlformats.org/officeDocument/2006/relationships/oleObject" Target="../embeddings/oleObject203.bin"/><Relationship Id="rId13" Type="http://schemas.openxmlformats.org/officeDocument/2006/relationships/oleObject" Target="../embeddings/oleObject144.bin"/><Relationship Id="rId129" Type="http://schemas.openxmlformats.org/officeDocument/2006/relationships/image" Target="../media/image123.wmf"/><Relationship Id="rId128" Type="http://schemas.openxmlformats.org/officeDocument/2006/relationships/oleObject" Target="../embeddings/oleObject202.bin"/><Relationship Id="rId127" Type="http://schemas.openxmlformats.org/officeDocument/2006/relationships/image" Target="../media/image122.wmf"/><Relationship Id="rId126" Type="http://schemas.openxmlformats.org/officeDocument/2006/relationships/oleObject" Target="../embeddings/oleObject201.bin"/><Relationship Id="rId125" Type="http://schemas.openxmlformats.org/officeDocument/2006/relationships/image" Target="../media/image121.wmf"/><Relationship Id="rId124" Type="http://schemas.openxmlformats.org/officeDocument/2006/relationships/oleObject" Target="../embeddings/oleObject200.bin"/><Relationship Id="rId123" Type="http://schemas.openxmlformats.org/officeDocument/2006/relationships/image" Target="../media/image120.wmf"/><Relationship Id="rId122" Type="http://schemas.openxmlformats.org/officeDocument/2006/relationships/oleObject" Target="../embeddings/oleObject199.bin"/><Relationship Id="rId121" Type="http://schemas.openxmlformats.org/officeDocument/2006/relationships/image" Target="../media/image119.wmf"/><Relationship Id="rId120" Type="http://schemas.openxmlformats.org/officeDocument/2006/relationships/oleObject" Target="../embeddings/oleObject198.bin"/><Relationship Id="rId12" Type="http://schemas.openxmlformats.org/officeDocument/2006/relationships/image" Target="../media/image65.wmf"/><Relationship Id="rId119" Type="http://schemas.openxmlformats.org/officeDocument/2006/relationships/image" Target="../media/image118.wmf"/><Relationship Id="rId118" Type="http://schemas.openxmlformats.org/officeDocument/2006/relationships/oleObject" Target="../embeddings/oleObject197.bin"/><Relationship Id="rId117" Type="http://schemas.openxmlformats.org/officeDocument/2006/relationships/image" Target="../media/image117.wmf"/><Relationship Id="rId116" Type="http://schemas.openxmlformats.org/officeDocument/2006/relationships/oleObject" Target="../embeddings/oleObject196.bin"/><Relationship Id="rId115" Type="http://schemas.openxmlformats.org/officeDocument/2006/relationships/oleObject" Target="../embeddings/oleObject195.bin"/><Relationship Id="rId114" Type="http://schemas.openxmlformats.org/officeDocument/2006/relationships/image" Target="../media/image116.wmf"/><Relationship Id="rId113" Type="http://schemas.openxmlformats.org/officeDocument/2006/relationships/oleObject" Target="../embeddings/oleObject194.bin"/><Relationship Id="rId112" Type="http://schemas.openxmlformats.org/officeDocument/2006/relationships/image" Target="../media/image115.wmf"/><Relationship Id="rId111" Type="http://schemas.openxmlformats.org/officeDocument/2006/relationships/oleObject" Target="../embeddings/oleObject193.bin"/><Relationship Id="rId110" Type="http://schemas.openxmlformats.org/officeDocument/2006/relationships/image" Target="../media/image114.wmf"/><Relationship Id="rId11" Type="http://schemas.openxmlformats.org/officeDocument/2006/relationships/oleObject" Target="../embeddings/oleObject143.bin"/><Relationship Id="rId109" Type="http://schemas.openxmlformats.org/officeDocument/2006/relationships/oleObject" Target="../embeddings/oleObject192.bin"/><Relationship Id="rId108" Type="http://schemas.openxmlformats.org/officeDocument/2006/relationships/image" Target="../media/image113.wmf"/><Relationship Id="rId107" Type="http://schemas.openxmlformats.org/officeDocument/2006/relationships/oleObject" Target="../embeddings/oleObject191.bin"/><Relationship Id="rId106" Type="http://schemas.openxmlformats.org/officeDocument/2006/relationships/image" Target="../media/image112.wmf"/><Relationship Id="rId105" Type="http://schemas.openxmlformats.org/officeDocument/2006/relationships/oleObject" Target="../embeddings/oleObject190.bin"/><Relationship Id="rId104" Type="http://schemas.openxmlformats.org/officeDocument/2006/relationships/image" Target="../media/image111.wmf"/><Relationship Id="rId103" Type="http://schemas.openxmlformats.org/officeDocument/2006/relationships/oleObject" Target="../embeddings/oleObject189.bin"/><Relationship Id="rId102" Type="http://schemas.openxmlformats.org/officeDocument/2006/relationships/image" Target="../media/image110.wmf"/><Relationship Id="rId101" Type="http://schemas.openxmlformats.org/officeDocument/2006/relationships/oleObject" Target="../embeddings/oleObject188.bin"/><Relationship Id="rId100" Type="http://schemas.openxmlformats.org/officeDocument/2006/relationships/image" Target="../media/image109.wmf"/><Relationship Id="rId10" Type="http://schemas.openxmlformats.org/officeDocument/2006/relationships/image" Target="../media/image64.wmf"/><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9" Type="http://schemas.openxmlformats.org/officeDocument/2006/relationships/image" Target="../media/image127.wmf"/><Relationship Id="rId8" Type="http://schemas.openxmlformats.org/officeDocument/2006/relationships/oleObject" Target="../embeddings/oleObject207.bin"/><Relationship Id="rId7" Type="http://schemas.openxmlformats.org/officeDocument/2006/relationships/image" Target="../media/image126.wmf"/><Relationship Id="rId63" Type="http://schemas.openxmlformats.org/officeDocument/2006/relationships/image" Target="../media/image153.wmf"/><Relationship Id="rId62" Type="http://schemas.openxmlformats.org/officeDocument/2006/relationships/oleObject" Target="../embeddings/oleObject235.bin"/><Relationship Id="rId61" Type="http://schemas.openxmlformats.org/officeDocument/2006/relationships/image" Target="../media/image152.wmf"/><Relationship Id="rId60" Type="http://schemas.openxmlformats.org/officeDocument/2006/relationships/oleObject" Target="../embeddings/oleObject234.bin"/><Relationship Id="rId6" Type="http://schemas.openxmlformats.org/officeDocument/2006/relationships/oleObject" Target="../embeddings/oleObject206.bin"/><Relationship Id="rId59" Type="http://schemas.openxmlformats.org/officeDocument/2006/relationships/image" Target="../media/image151.wmf"/><Relationship Id="rId58" Type="http://schemas.openxmlformats.org/officeDocument/2006/relationships/oleObject" Target="../embeddings/oleObject233.bin"/><Relationship Id="rId57" Type="http://schemas.openxmlformats.org/officeDocument/2006/relationships/oleObject" Target="../embeddings/oleObject232.bin"/><Relationship Id="rId56" Type="http://schemas.openxmlformats.org/officeDocument/2006/relationships/image" Target="../media/image150.wmf"/><Relationship Id="rId55" Type="http://schemas.openxmlformats.org/officeDocument/2006/relationships/oleObject" Target="../embeddings/oleObject231.bin"/><Relationship Id="rId54" Type="http://schemas.openxmlformats.org/officeDocument/2006/relationships/oleObject" Target="../embeddings/oleObject230.bin"/><Relationship Id="rId53" Type="http://schemas.openxmlformats.org/officeDocument/2006/relationships/image" Target="../media/image149.wmf"/><Relationship Id="rId52" Type="http://schemas.openxmlformats.org/officeDocument/2006/relationships/oleObject" Target="../embeddings/oleObject229.bin"/><Relationship Id="rId51" Type="http://schemas.openxmlformats.org/officeDocument/2006/relationships/image" Target="../media/image148.wmf"/><Relationship Id="rId50" Type="http://schemas.openxmlformats.org/officeDocument/2006/relationships/oleObject" Target="../embeddings/oleObject228.bin"/><Relationship Id="rId5" Type="http://schemas.openxmlformats.org/officeDocument/2006/relationships/image" Target="../media/image125.wmf"/><Relationship Id="rId49" Type="http://schemas.openxmlformats.org/officeDocument/2006/relationships/image" Target="../media/image147.wmf"/><Relationship Id="rId48" Type="http://schemas.openxmlformats.org/officeDocument/2006/relationships/oleObject" Target="../embeddings/oleObject227.bin"/><Relationship Id="rId47" Type="http://schemas.openxmlformats.org/officeDocument/2006/relationships/image" Target="../media/image146.wmf"/><Relationship Id="rId46" Type="http://schemas.openxmlformats.org/officeDocument/2006/relationships/oleObject" Target="../embeddings/oleObject226.bin"/><Relationship Id="rId45" Type="http://schemas.openxmlformats.org/officeDocument/2006/relationships/image" Target="../media/image145.wmf"/><Relationship Id="rId44" Type="http://schemas.openxmlformats.org/officeDocument/2006/relationships/oleObject" Target="../embeddings/oleObject225.bin"/><Relationship Id="rId43" Type="http://schemas.openxmlformats.org/officeDocument/2006/relationships/image" Target="../media/image144.wmf"/><Relationship Id="rId42" Type="http://schemas.openxmlformats.org/officeDocument/2006/relationships/oleObject" Target="../embeddings/oleObject224.bin"/><Relationship Id="rId41" Type="http://schemas.openxmlformats.org/officeDocument/2006/relationships/image" Target="../media/image143.wmf"/><Relationship Id="rId40" Type="http://schemas.openxmlformats.org/officeDocument/2006/relationships/oleObject" Target="../embeddings/oleObject223.bin"/><Relationship Id="rId4" Type="http://schemas.openxmlformats.org/officeDocument/2006/relationships/oleObject" Target="../embeddings/oleObject205.bin"/><Relationship Id="rId39" Type="http://schemas.openxmlformats.org/officeDocument/2006/relationships/image" Target="../media/image142.wmf"/><Relationship Id="rId38" Type="http://schemas.openxmlformats.org/officeDocument/2006/relationships/oleObject" Target="../embeddings/oleObject222.bin"/><Relationship Id="rId37" Type="http://schemas.openxmlformats.org/officeDocument/2006/relationships/image" Target="../media/image141.wmf"/><Relationship Id="rId36" Type="http://schemas.openxmlformats.org/officeDocument/2006/relationships/oleObject" Target="../embeddings/oleObject221.bin"/><Relationship Id="rId35" Type="http://schemas.openxmlformats.org/officeDocument/2006/relationships/image" Target="../media/image140.wmf"/><Relationship Id="rId34" Type="http://schemas.openxmlformats.org/officeDocument/2006/relationships/oleObject" Target="../embeddings/oleObject220.bin"/><Relationship Id="rId33" Type="http://schemas.openxmlformats.org/officeDocument/2006/relationships/image" Target="../media/image139.wmf"/><Relationship Id="rId32" Type="http://schemas.openxmlformats.org/officeDocument/2006/relationships/oleObject" Target="../embeddings/oleObject219.bin"/><Relationship Id="rId31" Type="http://schemas.openxmlformats.org/officeDocument/2006/relationships/image" Target="../media/image138.wmf"/><Relationship Id="rId30" Type="http://schemas.openxmlformats.org/officeDocument/2006/relationships/oleObject" Target="../embeddings/oleObject218.bin"/><Relationship Id="rId3" Type="http://schemas.openxmlformats.org/officeDocument/2006/relationships/vmlDrawing" Target="../drawings/vmlDrawing5.vml"/><Relationship Id="rId29" Type="http://schemas.openxmlformats.org/officeDocument/2006/relationships/image" Target="../media/image137.wmf"/><Relationship Id="rId28" Type="http://schemas.openxmlformats.org/officeDocument/2006/relationships/oleObject" Target="../embeddings/oleObject217.bin"/><Relationship Id="rId27" Type="http://schemas.openxmlformats.org/officeDocument/2006/relationships/image" Target="../media/image136.wmf"/><Relationship Id="rId26" Type="http://schemas.openxmlformats.org/officeDocument/2006/relationships/oleObject" Target="../embeddings/oleObject216.bin"/><Relationship Id="rId25" Type="http://schemas.openxmlformats.org/officeDocument/2006/relationships/image" Target="../media/image135.wmf"/><Relationship Id="rId24" Type="http://schemas.openxmlformats.org/officeDocument/2006/relationships/oleObject" Target="../embeddings/oleObject215.bin"/><Relationship Id="rId23" Type="http://schemas.openxmlformats.org/officeDocument/2006/relationships/image" Target="../media/image134.wmf"/><Relationship Id="rId22" Type="http://schemas.openxmlformats.org/officeDocument/2006/relationships/oleObject" Target="../embeddings/oleObject214.bin"/><Relationship Id="rId21" Type="http://schemas.openxmlformats.org/officeDocument/2006/relationships/image" Target="../media/image133.wmf"/><Relationship Id="rId20" Type="http://schemas.openxmlformats.org/officeDocument/2006/relationships/oleObject" Target="../embeddings/oleObject213.bin"/><Relationship Id="rId2" Type="http://schemas.openxmlformats.org/officeDocument/2006/relationships/drawing" Target="../drawings/drawing5.xml"/><Relationship Id="rId19" Type="http://schemas.openxmlformats.org/officeDocument/2006/relationships/image" Target="../media/image132.wmf"/><Relationship Id="rId18" Type="http://schemas.openxmlformats.org/officeDocument/2006/relationships/oleObject" Target="../embeddings/oleObject212.bin"/><Relationship Id="rId17" Type="http://schemas.openxmlformats.org/officeDocument/2006/relationships/image" Target="../media/image131.wmf"/><Relationship Id="rId16" Type="http://schemas.openxmlformats.org/officeDocument/2006/relationships/oleObject" Target="../embeddings/oleObject211.bin"/><Relationship Id="rId15" Type="http://schemas.openxmlformats.org/officeDocument/2006/relationships/image" Target="../media/image130.wmf"/><Relationship Id="rId14" Type="http://schemas.openxmlformats.org/officeDocument/2006/relationships/oleObject" Target="../embeddings/oleObject210.bin"/><Relationship Id="rId13" Type="http://schemas.openxmlformats.org/officeDocument/2006/relationships/image" Target="../media/image129.wmf"/><Relationship Id="rId12" Type="http://schemas.openxmlformats.org/officeDocument/2006/relationships/oleObject" Target="../embeddings/oleObject209.bin"/><Relationship Id="rId11" Type="http://schemas.openxmlformats.org/officeDocument/2006/relationships/image" Target="../media/image128.wmf"/><Relationship Id="rId10" Type="http://schemas.openxmlformats.org/officeDocument/2006/relationships/oleObject" Target="../embeddings/oleObject208.bin"/><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E110"/>
  <sheetViews>
    <sheetView zoomScale="85" zoomScaleNormal="85" zoomScaleSheetLayoutView="85" topLeftCell="A97" workbookViewId="0">
      <selection activeCell="D104" sqref="D104"/>
    </sheetView>
  </sheetViews>
  <sheetFormatPr defaultColWidth="9" defaultRowHeight="35.1" customHeight="1" outlineLevelCol="4"/>
  <cols>
    <col min="1" max="1" width="10.125" style="222" customWidth="1"/>
    <col min="2" max="2" width="47.125" style="223" customWidth="1"/>
    <col min="3" max="3" width="9.625" style="222" customWidth="1"/>
    <col min="4" max="4" width="39.25" style="224" customWidth="1"/>
    <col min="5" max="5" width="11.625" style="225" customWidth="1"/>
    <col min="6" max="7" width="9" style="226" customWidth="1"/>
    <col min="8" max="220" width="9" style="226"/>
    <col min="221" max="16384" width="9" style="227"/>
  </cols>
  <sheetData>
    <row r="1" customHeight="1" spans="1:5">
      <c r="A1" s="228" t="s">
        <v>0</v>
      </c>
      <c r="B1" s="228" t="s">
        <v>1</v>
      </c>
      <c r="C1" s="228" t="s">
        <v>2</v>
      </c>
      <c r="D1" s="229" t="s">
        <v>3</v>
      </c>
      <c r="E1" s="230" t="s">
        <v>4</v>
      </c>
    </row>
    <row r="2" customHeight="1" spans="1:5">
      <c r="A2" s="231" t="s">
        <v>5</v>
      </c>
      <c r="B2" s="232"/>
      <c r="C2" s="232"/>
      <c r="D2" s="232"/>
      <c r="E2" s="233"/>
    </row>
    <row r="3" customHeight="1" spans="1:5">
      <c r="A3" s="228" t="s">
        <v>6</v>
      </c>
      <c r="B3" s="234" t="s">
        <v>7</v>
      </c>
      <c r="C3" s="228" t="s">
        <v>8</v>
      </c>
      <c r="D3" s="235" t="s">
        <v>9</v>
      </c>
      <c r="E3" s="230">
        <v>40</v>
      </c>
    </row>
    <row r="4" customHeight="1" spans="1:5">
      <c r="A4" s="228" t="s">
        <v>10</v>
      </c>
      <c r="B4" s="234" t="s">
        <v>11</v>
      </c>
      <c r="C4" s="228" t="s">
        <v>12</v>
      </c>
      <c r="D4" s="235" t="s">
        <v>9</v>
      </c>
      <c r="E4" s="230">
        <v>100</v>
      </c>
    </row>
    <row r="5" customHeight="1" spans="1:5">
      <c r="A5" s="228" t="s">
        <v>13</v>
      </c>
      <c r="B5" s="234" t="s">
        <v>14</v>
      </c>
      <c r="C5" s="228" t="s">
        <v>15</v>
      </c>
      <c r="D5" s="235" t="s">
        <v>9</v>
      </c>
      <c r="E5" s="236">
        <v>4700</v>
      </c>
    </row>
    <row r="6" customHeight="1" spans="1:5">
      <c r="A6" s="228" t="s">
        <v>16</v>
      </c>
      <c r="B6" s="234" t="s">
        <v>17</v>
      </c>
      <c r="C6" s="228" t="s">
        <v>15</v>
      </c>
      <c r="D6" s="235" t="s">
        <v>9</v>
      </c>
      <c r="E6" s="236">
        <v>2100</v>
      </c>
    </row>
    <row r="7" customHeight="1" spans="1:5">
      <c r="A7" s="228" t="s">
        <v>18</v>
      </c>
      <c r="B7" s="234" t="s">
        <v>19</v>
      </c>
      <c r="C7" s="228" t="s">
        <v>15</v>
      </c>
      <c r="D7" s="235" t="s">
        <v>20</v>
      </c>
      <c r="E7" s="237">
        <f>E5-E6</f>
        <v>2600</v>
      </c>
    </row>
    <row r="8" customHeight="1" spans="1:5">
      <c r="A8" s="228" t="s">
        <v>21</v>
      </c>
      <c r="B8" s="234" t="s">
        <v>22</v>
      </c>
      <c r="C8" s="228" t="s">
        <v>23</v>
      </c>
      <c r="D8" s="235" t="s">
        <v>9</v>
      </c>
      <c r="E8" s="236">
        <v>1000</v>
      </c>
    </row>
    <row r="9" customHeight="1" spans="1:5">
      <c r="A9" s="228" t="s">
        <v>24</v>
      </c>
      <c r="B9" s="234" t="s">
        <v>25</v>
      </c>
      <c r="C9" s="228" t="s">
        <v>26</v>
      </c>
      <c r="D9" s="235" t="s">
        <v>24</v>
      </c>
      <c r="E9" s="237">
        <f>E8/1000</f>
        <v>1</v>
      </c>
    </row>
    <row r="10" customHeight="1" spans="1:5">
      <c r="A10" s="228" t="s">
        <v>27</v>
      </c>
      <c r="B10" s="234" t="s">
        <v>28</v>
      </c>
      <c r="C10" s="228" t="s">
        <v>29</v>
      </c>
      <c r="D10" s="235" t="s">
        <v>9</v>
      </c>
      <c r="E10" s="236"/>
    </row>
    <row r="11" customHeight="1" spans="1:5">
      <c r="A11" s="228" t="s">
        <v>30</v>
      </c>
      <c r="B11" s="234" t="s">
        <v>31</v>
      </c>
      <c r="C11" s="228" t="s">
        <v>32</v>
      </c>
      <c r="D11" s="235" t="s">
        <v>9</v>
      </c>
      <c r="E11" s="236">
        <v>22.12</v>
      </c>
    </row>
    <row r="12" customHeight="1" spans="1:5">
      <c r="A12" s="228" t="s">
        <v>33</v>
      </c>
      <c r="B12" s="234" t="s">
        <v>34</v>
      </c>
      <c r="C12" s="228"/>
      <c r="D12" s="235" t="s">
        <v>35</v>
      </c>
      <c r="E12" s="237">
        <f>E5/E11</f>
        <v>212.4773960217</v>
      </c>
    </row>
    <row r="13" customHeight="1" spans="1:5">
      <c r="A13" s="228" t="s">
        <v>36</v>
      </c>
      <c r="B13" s="234" t="s">
        <v>37</v>
      </c>
      <c r="C13" s="228" t="s">
        <v>15</v>
      </c>
      <c r="D13" s="235" t="s">
        <v>9</v>
      </c>
      <c r="E13" s="237">
        <f>E110</f>
        <v>260.187067799487</v>
      </c>
    </row>
    <row r="14" customHeight="1" spans="1:5">
      <c r="A14" s="228" t="s">
        <v>38</v>
      </c>
      <c r="B14" s="234" t="s">
        <v>39</v>
      </c>
      <c r="C14" s="228" t="s">
        <v>40</v>
      </c>
      <c r="D14" s="235" t="s">
        <v>41</v>
      </c>
      <c r="E14" s="237">
        <f>E3+273.15</f>
        <v>313.15</v>
      </c>
    </row>
    <row r="15" customHeight="1" spans="1:5">
      <c r="A15" s="228" t="s">
        <v>42</v>
      </c>
      <c r="B15" s="234" t="s">
        <v>43</v>
      </c>
      <c r="C15" s="228" t="s">
        <v>40</v>
      </c>
      <c r="D15" s="235" t="s">
        <v>9</v>
      </c>
      <c r="E15" s="237">
        <f>273.15+E13</f>
        <v>533.337067799487</v>
      </c>
    </row>
    <row r="16" customHeight="1" spans="1:5">
      <c r="A16" s="231" t="s">
        <v>44</v>
      </c>
      <c r="B16" s="232"/>
      <c r="C16" s="232"/>
      <c r="D16" s="232"/>
      <c r="E16" s="233"/>
    </row>
    <row r="17" customHeight="1" spans="1:5">
      <c r="A17" s="238" t="s">
        <v>45</v>
      </c>
      <c r="B17" s="239" t="s">
        <v>46</v>
      </c>
      <c r="C17" s="228"/>
      <c r="D17" s="229"/>
      <c r="E17" s="240">
        <f>E4/E83*SQRT(E9/E7)</f>
        <v>19.6116135138184</v>
      </c>
    </row>
    <row r="18" customHeight="1" spans="1:5">
      <c r="A18" s="241" t="s">
        <v>47</v>
      </c>
      <c r="B18" s="239" t="s">
        <v>48</v>
      </c>
      <c r="C18" s="228"/>
      <c r="D18" s="229"/>
      <c r="E18" s="240">
        <f>E4/E83/E28*SQRT(E9/E7)</f>
        <v>19.6116135138184</v>
      </c>
    </row>
    <row r="19" customHeight="1" spans="1:5">
      <c r="A19" s="242" t="s">
        <v>49</v>
      </c>
      <c r="B19" s="243" t="s">
        <v>50</v>
      </c>
      <c r="C19" s="228"/>
      <c r="D19" s="229"/>
      <c r="E19" s="240">
        <f>E4/E83/E27*SQRT(E9/(E5-E30*E13))</f>
        <v>16.6542438851919</v>
      </c>
    </row>
    <row r="20" customHeight="1" spans="1:5">
      <c r="A20" s="228" t="s">
        <v>51</v>
      </c>
      <c r="B20" s="239" t="s">
        <v>52</v>
      </c>
      <c r="C20" s="228"/>
      <c r="D20" s="229"/>
      <c r="E20" s="240">
        <f>E4/E83/E29*SQRT(E9/(E5-E30*E13))</f>
        <v>16.6542438851919</v>
      </c>
    </row>
    <row r="21" customHeight="1" spans="1:5">
      <c r="A21" s="228" t="s">
        <v>53</v>
      </c>
      <c r="B21" s="234" t="s">
        <v>54</v>
      </c>
      <c r="C21" s="228"/>
      <c r="D21" s="229"/>
      <c r="E21" s="240" t="e">
        <f>E4/E83/E61*SQRT(E9/E7)</f>
        <v>#DIV/0!</v>
      </c>
    </row>
    <row r="22" customHeight="1" spans="1:5">
      <c r="A22" s="228" t="s">
        <v>55</v>
      </c>
      <c r="B22" s="234" t="s">
        <v>56</v>
      </c>
      <c r="C22" s="228"/>
      <c r="D22" s="228"/>
      <c r="E22" s="230">
        <v>50</v>
      </c>
    </row>
    <row r="23" customHeight="1" spans="1:5">
      <c r="A23" s="228" t="s">
        <v>57</v>
      </c>
      <c r="B23" s="234" t="s">
        <v>58</v>
      </c>
      <c r="C23" s="228"/>
      <c r="D23" s="228" t="s">
        <v>59</v>
      </c>
      <c r="E23" s="240">
        <f>1.3*E22</f>
        <v>65</v>
      </c>
    </row>
    <row r="24" customHeight="1" spans="1:5">
      <c r="A24" s="228" t="s">
        <v>60</v>
      </c>
      <c r="B24" s="234" t="s">
        <v>61</v>
      </c>
      <c r="C24" s="228" t="s">
        <v>62</v>
      </c>
      <c r="D24" s="244"/>
      <c r="E24" s="237">
        <f>E4/0.785/E36^2/3600*1000000</f>
        <v>5.52901627742392</v>
      </c>
    </row>
    <row r="25" customHeight="1" spans="1:5">
      <c r="A25" s="228" t="s">
        <v>63</v>
      </c>
      <c r="B25" s="234" t="s">
        <v>64</v>
      </c>
      <c r="C25" s="228" t="s">
        <v>65</v>
      </c>
      <c r="D25" s="244"/>
      <c r="E25" s="236"/>
    </row>
    <row r="26" customHeight="1" spans="1:5">
      <c r="A26" s="228"/>
      <c r="B26" s="234" t="s">
        <v>66</v>
      </c>
      <c r="C26" s="228"/>
      <c r="D26" s="244" t="s">
        <v>67</v>
      </c>
      <c r="E26" s="236"/>
    </row>
    <row r="27" customHeight="1" spans="1:5">
      <c r="A27" s="228" t="s">
        <v>68</v>
      </c>
      <c r="B27" s="234" t="s">
        <v>69</v>
      </c>
      <c r="C27" s="228"/>
      <c r="D27" s="235" t="s">
        <v>9</v>
      </c>
      <c r="E27" s="236">
        <v>0.9</v>
      </c>
    </row>
    <row r="28" ht="60" customHeight="1" spans="1:5">
      <c r="A28" s="228" t="s">
        <v>70</v>
      </c>
      <c r="B28" s="234" t="s">
        <v>71</v>
      </c>
      <c r="C28" s="228"/>
      <c r="D28" s="229"/>
      <c r="E28" s="240">
        <f>1/SQRT(1+E56/E84*(E23/E36^2)^2)</f>
        <v>1</v>
      </c>
    </row>
    <row r="29" ht="63" customHeight="1" spans="1:5">
      <c r="A29" s="228" t="s">
        <v>72</v>
      </c>
      <c r="B29" s="245" t="s">
        <v>73</v>
      </c>
      <c r="C29" s="228"/>
      <c r="D29" s="229"/>
      <c r="E29" s="240">
        <f>E27/SQRT(1+E27^2/E84*E56/(E23/E36^2)^2)</f>
        <v>0.9</v>
      </c>
    </row>
    <row r="30" ht="45.95" customHeight="1" spans="1:5">
      <c r="A30" s="228" t="s">
        <v>74</v>
      </c>
      <c r="B30" s="234" t="s">
        <v>75</v>
      </c>
      <c r="C30" s="228"/>
      <c r="D30" s="235"/>
      <c r="E30" s="237">
        <f>0.96-0.28*(E13/E11/1000)</f>
        <v>0.956706492812665</v>
      </c>
    </row>
    <row r="31" ht="36.95" customHeight="1" spans="1:5">
      <c r="A31" s="228" t="s">
        <v>76</v>
      </c>
      <c r="B31" s="234" t="s">
        <v>77</v>
      </c>
      <c r="C31" s="228" t="s">
        <v>78</v>
      </c>
      <c r="D31" s="229"/>
      <c r="E31" s="240">
        <f>(1-LOG10(E34)/LOG10(E38))*100</f>
        <v>82.2816179864442</v>
      </c>
    </row>
    <row r="32" ht="41.1" customHeight="1" spans="1:5">
      <c r="A32" s="228"/>
      <c r="B32" s="234" t="s">
        <v>79</v>
      </c>
      <c r="C32" s="228" t="s">
        <v>78</v>
      </c>
      <c r="D32" s="229"/>
      <c r="E32" s="240">
        <f>(E39-E34)/((E39-1)*E34)*100</f>
        <v>48.2758620689655</v>
      </c>
    </row>
    <row r="33" ht="39.95" customHeight="1" spans="1:5">
      <c r="A33" s="228"/>
      <c r="B33" s="234" t="s">
        <v>80</v>
      </c>
      <c r="C33" s="228" t="s">
        <v>78</v>
      </c>
      <c r="D33" s="229"/>
      <c r="E33" s="240">
        <f>(1-SQRT(E39*(E34-1)/((E39-1)*E34)))*100</f>
        <v>28.0805047771924</v>
      </c>
    </row>
    <row r="34" customHeight="1" spans="1:5">
      <c r="A34" s="228"/>
      <c r="B34" s="234" t="s">
        <v>81</v>
      </c>
      <c r="C34" s="228"/>
      <c r="E34" s="240">
        <f>E40/E22</f>
        <v>2</v>
      </c>
    </row>
    <row r="35" customHeight="1" spans="1:5">
      <c r="A35" s="246" t="s">
        <v>82</v>
      </c>
      <c r="B35" s="247"/>
      <c r="C35" s="247"/>
      <c r="D35" s="247"/>
      <c r="E35" s="248"/>
    </row>
    <row r="36" customHeight="1" spans="1:5">
      <c r="A36" s="228" t="s">
        <v>83</v>
      </c>
      <c r="B36" s="234" t="s">
        <v>84</v>
      </c>
      <c r="C36" s="228" t="s">
        <v>85</v>
      </c>
      <c r="D36" s="235" t="s">
        <v>9</v>
      </c>
      <c r="E36" s="236">
        <v>80</v>
      </c>
    </row>
    <row r="37" customHeight="1" spans="1:5">
      <c r="A37" s="228" t="s">
        <v>86</v>
      </c>
      <c r="B37" s="234" t="s">
        <v>87</v>
      </c>
      <c r="C37" s="228" t="s">
        <v>85</v>
      </c>
      <c r="D37" s="235"/>
      <c r="E37" s="237">
        <f>E41</f>
        <v>80</v>
      </c>
    </row>
    <row r="38" customHeight="1" spans="1:5">
      <c r="A38" s="249" t="s">
        <v>88</v>
      </c>
      <c r="B38" s="234" t="s">
        <v>89</v>
      </c>
      <c r="C38" s="228"/>
      <c r="D38" s="235" t="s">
        <v>9</v>
      </c>
      <c r="E38" s="236">
        <v>50</v>
      </c>
    </row>
    <row r="39" customHeight="1" spans="1:5">
      <c r="A39" s="250"/>
      <c r="B39" s="234" t="s">
        <v>90</v>
      </c>
      <c r="C39" s="228"/>
      <c r="D39" s="235" t="s">
        <v>9</v>
      </c>
      <c r="E39" s="236">
        <v>30</v>
      </c>
    </row>
    <row r="40" customHeight="1" spans="1:5">
      <c r="A40" s="228" t="s">
        <v>91</v>
      </c>
      <c r="B40" s="234" t="s">
        <v>92</v>
      </c>
      <c r="C40" s="228"/>
      <c r="D40" s="235" t="s">
        <v>9</v>
      </c>
      <c r="E40" s="236">
        <v>100</v>
      </c>
    </row>
    <row r="41" customHeight="1" spans="1:5">
      <c r="A41" s="228" t="s">
        <v>93</v>
      </c>
      <c r="B41" s="234" t="s">
        <v>94</v>
      </c>
      <c r="C41" s="228" t="s">
        <v>85</v>
      </c>
      <c r="D41" s="235" t="s">
        <v>95</v>
      </c>
      <c r="E41" s="237">
        <f>E43-E45*2</f>
        <v>80</v>
      </c>
    </row>
    <row r="42" customHeight="1" spans="1:5">
      <c r="A42" s="228" t="s">
        <v>96</v>
      </c>
      <c r="B42" s="234" t="s">
        <v>97</v>
      </c>
      <c r="C42" s="228" t="s">
        <v>85</v>
      </c>
      <c r="D42" s="235" t="s">
        <v>98</v>
      </c>
      <c r="E42" s="237">
        <f>E44-E46*2</f>
        <v>80</v>
      </c>
    </row>
    <row r="43" customHeight="1" spans="1:5">
      <c r="A43" s="222" t="s">
        <v>99</v>
      </c>
      <c r="B43" s="234" t="s">
        <v>100</v>
      </c>
      <c r="C43" s="228" t="s">
        <v>85</v>
      </c>
      <c r="D43" s="235" t="s">
        <v>9</v>
      </c>
      <c r="E43" s="236">
        <v>89</v>
      </c>
    </row>
    <row r="44" customHeight="1" spans="1:5">
      <c r="A44" s="228" t="s">
        <v>101</v>
      </c>
      <c r="B44" s="234" t="s">
        <v>102</v>
      </c>
      <c r="C44" s="228" t="s">
        <v>85</v>
      </c>
      <c r="D44" s="235" t="s">
        <v>9</v>
      </c>
      <c r="E44" s="236">
        <v>89</v>
      </c>
    </row>
    <row r="45" customHeight="1" spans="1:5">
      <c r="A45" s="228" t="s">
        <v>103</v>
      </c>
      <c r="B45" s="234" t="s">
        <v>104</v>
      </c>
      <c r="C45" s="228" t="s">
        <v>85</v>
      </c>
      <c r="D45" s="235" t="s">
        <v>9</v>
      </c>
      <c r="E45" s="236">
        <v>4.5</v>
      </c>
    </row>
    <row r="46" customHeight="1" spans="1:5">
      <c r="A46" s="228" t="s">
        <v>105</v>
      </c>
      <c r="B46" s="234" t="s">
        <v>104</v>
      </c>
      <c r="C46" s="228" t="s">
        <v>85</v>
      </c>
      <c r="D46" s="235" t="s">
        <v>9</v>
      </c>
      <c r="E46" s="236">
        <v>4.5</v>
      </c>
    </row>
    <row r="47" customHeight="1" spans="1:5">
      <c r="A47" s="228" t="s">
        <v>106</v>
      </c>
      <c r="B47" s="234" t="s">
        <v>107</v>
      </c>
      <c r="C47" s="228" t="s">
        <v>85</v>
      </c>
      <c r="D47" s="235" t="s">
        <v>9</v>
      </c>
      <c r="E47" s="230">
        <v>80</v>
      </c>
    </row>
    <row r="48" ht="63" customHeight="1" spans="1:5">
      <c r="A48" s="228" t="s">
        <v>108</v>
      </c>
      <c r="B48" s="234" t="s">
        <v>109</v>
      </c>
      <c r="C48" s="228"/>
      <c r="D48" s="235"/>
      <c r="E48" s="236"/>
    </row>
    <row r="49" ht="99.95" customHeight="1" spans="1:5">
      <c r="A49" s="228" t="s">
        <v>110</v>
      </c>
      <c r="B49" s="234" t="s">
        <v>111</v>
      </c>
      <c r="C49" s="228"/>
      <c r="D49" s="228"/>
      <c r="E49" s="240">
        <f>E101*E27^2*E61^2*(E22/E36^2)*SQRT(E22*E27)/(E4*(E27^2*E22^2/(E84*E37^4+1)^0.25))</f>
        <v>0</v>
      </c>
    </row>
    <row r="50" ht="95.1" customHeight="1" spans="1:5">
      <c r="A50" s="228" t="s">
        <v>112</v>
      </c>
      <c r="B50" s="234" t="s">
        <v>113</v>
      </c>
      <c r="C50" s="228"/>
      <c r="D50" s="228"/>
      <c r="E50" s="240">
        <f>E102*E10*E27^2*SQRT(E22*E27)/(E4*(1+E99*(E22/E36^2)^(2/3)))</f>
        <v>0</v>
      </c>
    </row>
    <row r="51" ht="51.95" customHeight="1" spans="1:5">
      <c r="A51" s="228" t="s">
        <v>114</v>
      </c>
      <c r="B51" s="234"/>
      <c r="C51" s="228"/>
      <c r="D51" s="228"/>
      <c r="E51" s="240">
        <f>E52/E53</f>
        <v>0.418995614345502</v>
      </c>
    </row>
    <row r="52" ht="57" customHeight="1" spans="1:5">
      <c r="A52" s="251" t="s">
        <v>115</v>
      </c>
      <c r="B52" s="234" t="s">
        <v>116</v>
      </c>
      <c r="C52" s="228"/>
      <c r="D52" s="228"/>
      <c r="E52" s="240">
        <f>4*E54/E55</f>
        <v>14.0445859872611</v>
      </c>
    </row>
    <row r="53" ht="56.1" customHeight="1" spans="1:5">
      <c r="A53" s="228" t="s">
        <v>117</v>
      </c>
      <c r="B53" s="234" t="s">
        <v>118</v>
      </c>
      <c r="C53" s="228"/>
      <c r="D53" s="228"/>
      <c r="E53" s="240">
        <f>SQRT(4*E54/3.14)</f>
        <v>33.5196491476401</v>
      </c>
    </row>
    <row r="54" ht="47.1" customHeight="1" spans="1:5">
      <c r="A54" s="228" t="s">
        <v>119</v>
      </c>
      <c r="B54" s="234" t="s">
        <v>120</v>
      </c>
      <c r="C54" s="228"/>
      <c r="D54" s="235"/>
      <c r="E54" s="240">
        <f>E100*E22*E27</f>
        <v>882</v>
      </c>
    </row>
    <row r="55" ht="47.1" customHeight="1" spans="1:5">
      <c r="A55" s="252" t="s">
        <v>121</v>
      </c>
      <c r="B55" s="253" t="s">
        <v>122</v>
      </c>
      <c r="C55" s="228"/>
      <c r="D55" s="235"/>
      <c r="E55" s="240">
        <f>3.14*E47</f>
        <v>251.2</v>
      </c>
    </row>
    <row r="56" customHeight="1" spans="1:5">
      <c r="A56" s="228" t="s">
        <v>123</v>
      </c>
      <c r="B56" s="245" t="s">
        <v>124</v>
      </c>
      <c r="C56" s="228"/>
      <c r="D56" s="235"/>
      <c r="E56" s="237">
        <f>E57+E58+E59-E60</f>
        <v>0</v>
      </c>
    </row>
    <row r="57" ht="77.1" customHeight="1" spans="1:5">
      <c r="A57" s="228" t="s">
        <v>125</v>
      </c>
      <c r="B57" s="234" t="s">
        <v>126</v>
      </c>
      <c r="C57" s="228"/>
      <c r="D57" s="235"/>
      <c r="E57" s="237">
        <f>0.5*(1-(E36/E41)^2)^2</f>
        <v>0</v>
      </c>
    </row>
    <row r="58" ht="72" customHeight="1" spans="1:5">
      <c r="A58" s="228" t="s">
        <v>127</v>
      </c>
      <c r="B58" s="234" t="s">
        <v>128</v>
      </c>
      <c r="C58" s="228"/>
      <c r="D58" s="235"/>
      <c r="E58" s="237">
        <f>1*(1-(E36/E42)^2)^2</f>
        <v>0</v>
      </c>
    </row>
    <row r="59" ht="60" customHeight="1" spans="1:5">
      <c r="A59" s="228" t="s">
        <v>129</v>
      </c>
      <c r="B59" s="234" t="s">
        <v>130</v>
      </c>
      <c r="C59" s="228"/>
      <c r="D59" s="235"/>
      <c r="E59" s="237">
        <f>1-(E36/E41)^4</f>
        <v>0</v>
      </c>
    </row>
    <row r="60" ht="63" customHeight="1" spans="1:5">
      <c r="A60" s="228" t="s">
        <v>131</v>
      </c>
      <c r="B60" s="234" t="s">
        <v>132</v>
      </c>
      <c r="C60" s="228"/>
      <c r="D60" s="235"/>
      <c r="E60" s="237">
        <f>1-(E36/E42)^4</f>
        <v>0</v>
      </c>
    </row>
    <row r="61" customHeight="1" spans="1:5">
      <c r="A61" s="228" t="s">
        <v>133</v>
      </c>
      <c r="B61" s="234" t="s">
        <v>134</v>
      </c>
      <c r="C61" s="228"/>
      <c r="D61" s="229"/>
      <c r="E61" s="230"/>
    </row>
    <row r="62" ht="54" customHeight="1" spans="1:5">
      <c r="A62" s="228" t="s">
        <v>135</v>
      </c>
      <c r="B62" s="234" t="s">
        <v>136</v>
      </c>
      <c r="C62" s="228"/>
      <c r="D62" s="228"/>
      <c r="E62" s="240" t="e">
        <f>E85*E48*E4/E10/SQRT(E23*E27)*(E27^2*E23^2/E84*E37^4+1)^0.25</f>
        <v>#DIV/0!</v>
      </c>
    </row>
    <row r="63" ht="51.95" customHeight="1" spans="1:5">
      <c r="A63" s="228" t="s">
        <v>137</v>
      </c>
      <c r="B63" s="234" t="s">
        <v>138</v>
      </c>
      <c r="C63" s="228"/>
      <c r="D63" s="229"/>
      <c r="E63" s="240" t="e">
        <f>1+(0.33*E27^0.5/E65^0.25)*LOG10(E62/10000)</f>
        <v>#DIV/0!</v>
      </c>
    </row>
    <row r="64" ht="50.1" customHeight="1" spans="1:5">
      <c r="A64" s="228" t="s">
        <v>139</v>
      </c>
      <c r="B64" s="234" t="s">
        <v>140</v>
      </c>
      <c r="C64" s="228"/>
      <c r="D64" s="229"/>
      <c r="E64" s="240" t="e">
        <f>0.026/E27*SQRT(E65*E62)</f>
        <v>#DIV/0!</v>
      </c>
    </row>
    <row r="65" ht="62.1" customHeight="1" spans="1:5">
      <c r="A65" s="228" t="s">
        <v>141</v>
      </c>
      <c r="B65" s="234"/>
      <c r="C65" s="228"/>
      <c r="D65" s="228"/>
      <c r="E65" s="240">
        <f>E84/(E23/E36^2)^2</f>
        <v>15.5114792899408</v>
      </c>
    </row>
    <row r="66" ht="47.1" customHeight="1" spans="1:5">
      <c r="A66" s="228" t="s">
        <v>142</v>
      </c>
      <c r="B66" s="234"/>
      <c r="C66" s="228"/>
      <c r="D66" s="229"/>
      <c r="E66" s="240">
        <f>1+E99*(E23/E36^2)^(2/3)</f>
        <v>7.56573914169082</v>
      </c>
    </row>
    <row r="67" ht="50.1" customHeight="1" spans="1:5">
      <c r="A67" s="228" t="s">
        <v>143</v>
      </c>
      <c r="B67" s="234" t="s">
        <v>138</v>
      </c>
      <c r="C67" s="228"/>
      <c r="D67" s="229"/>
      <c r="E67" s="240" t="e">
        <f>1+(0.33*E27^0.5/E66^0.25)*LOG10(E62/10000)</f>
        <v>#DIV/0!</v>
      </c>
    </row>
    <row r="68" ht="45.95" customHeight="1" spans="1:5">
      <c r="A68" s="228" t="s">
        <v>144</v>
      </c>
      <c r="B68" s="234" t="s">
        <v>140</v>
      </c>
      <c r="C68" s="228"/>
      <c r="D68" s="229"/>
      <c r="E68" s="240" t="e">
        <f>0.026/E27*SQRT(E66*E62)</f>
        <v>#DIV/0!</v>
      </c>
    </row>
    <row r="69" customHeight="1" spans="1:5">
      <c r="A69" s="228" t="s">
        <v>145</v>
      </c>
      <c r="B69" s="234" t="s">
        <v>146</v>
      </c>
      <c r="C69" s="228"/>
      <c r="D69" s="235"/>
      <c r="E69" s="237">
        <f>E79/1.4</f>
        <v>0</v>
      </c>
    </row>
    <row r="70" customHeight="1" spans="1:5">
      <c r="A70" s="228" t="s">
        <v>147</v>
      </c>
      <c r="B70" s="234" t="s">
        <v>148</v>
      </c>
      <c r="C70" s="228" t="s">
        <v>149</v>
      </c>
      <c r="D70" s="235"/>
      <c r="E70" s="236"/>
    </row>
    <row r="71" customHeight="1" spans="1:5">
      <c r="A71" s="228" t="s">
        <v>150</v>
      </c>
      <c r="B71" s="234" t="s">
        <v>151</v>
      </c>
      <c r="C71" s="228"/>
      <c r="D71" s="235"/>
      <c r="E71" s="236"/>
    </row>
    <row r="72" customHeight="1" spans="1:5">
      <c r="A72" s="228" t="s">
        <v>152</v>
      </c>
      <c r="B72" s="234" t="s">
        <v>153</v>
      </c>
      <c r="C72" s="228" t="s">
        <v>40</v>
      </c>
      <c r="D72" s="229"/>
      <c r="E72" s="230"/>
    </row>
    <row r="73" customHeight="1" spans="1:5">
      <c r="A73" s="228" t="s">
        <v>154</v>
      </c>
      <c r="B73" s="234" t="s">
        <v>155</v>
      </c>
      <c r="C73" s="228" t="s">
        <v>156</v>
      </c>
      <c r="D73" s="228"/>
      <c r="E73" s="230"/>
    </row>
    <row r="74" customHeight="1" spans="1:5">
      <c r="A74" s="228" t="s">
        <v>157</v>
      </c>
      <c r="B74" s="234" t="s">
        <v>158</v>
      </c>
      <c r="C74" s="228"/>
      <c r="D74" s="235"/>
      <c r="E74" s="236"/>
    </row>
    <row r="75" customHeight="1" spans="1:5">
      <c r="A75" s="228" t="s">
        <v>159</v>
      </c>
      <c r="B75" s="234" t="s">
        <v>160</v>
      </c>
      <c r="C75" s="228" t="s">
        <v>161</v>
      </c>
      <c r="D75" s="235"/>
      <c r="E75" s="236"/>
    </row>
    <row r="76" customHeight="1" spans="1:5">
      <c r="A76" s="228" t="s">
        <v>162</v>
      </c>
      <c r="B76" s="234" t="s">
        <v>163</v>
      </c>
      <c r="C76" s="228"/>
      <c r="D76" s="244"/>
      <c r="E76" s="236"/>
    </row>
    <row r="77" customHeight="1" spans="1:5">
      <c r="A77" s="228" t="s">
        <v>164</v>
      </c>
      <c r="B77" s="234" t="s">
        <v>165</v>
      </c>
      <c r="C77" s="228"/>
      <c r="D77" s="235"/>
      <c r="E77" s="236"/>
    </row>
    <row r="78" customHeight="1" spans="1:5">
      <c r="A78" s="228" t="s">
        <v>166</v>
      </c>
      <c r="B78" s="234" t="s">
        <v>167</v>
      </c>
      <c r="C78" s="228"/>
      <c r="D78" s="235"/>
      <c r="E78" s="236"/>
    </row>
    <row r="79" customHeight="1" spans="1:5">
      <c r="A79" s="228" t="s">
        <v>168</v>
      </c>
      <c r="B79" s="234" t="s">
        <v>169</v>
      </c>
      <c r="C79" s="228"/>
      <c r="D79" s="235"/>
      <c r="E79" s="236"/>
    </row>
    <row r="80" customHeight="1" spans="1:5">
      <c r="A80" s="228" t="s">
        <v>170</v>
      </c>
      <c r="B80" s="234"/>
      <c r="C80" s="228"/>
      <c r="D80" s="229"/>
      <c r="E80" s="230"/>
    </row>
    <row r="81" customHeight="1" spans="1:5">
      <c r="A81" s="228" t="s">
        <v>171</v>
      </c>
      <c r="B81" s="234" t="s">
        <v>172</v>
      </c>
      <c r="C81" s="228" t="s">
        <v>173</v>
      </c>
      <c r="D81" s="229"/>
      <c r="E81" s="230"/>
    </row>
    <row r="82" customHeight="1" spans="1:5">
      <c r="A82" s="228" t="s">
        <v>174</v>
      </c>
      <c r="B82" s="234" t="s">
        <v>175</v>
      </c>
      <c r="C82" s="228" t="s">
        <v>173</v>
      </c>
      <c r="D82" s="229"/>
      <c r="E82" s="230"/>
    </row>
    <row r="83" customHeight="1" spans="1:5">
      <c r="A83" s="228" t="s">
        <v>176</v>
      </c>
      <c r="B83" s="254" t="s">
        <v>177</v>
      </c>
      <c r="C83" s="228"/>
      <c r="D83" s="229" t="s">
        <v>9</v>
      </c>
      <c r="E83" s="228">
        <v>0.1</v>
      </c>
    </row>
    <row r="84" customHeight="1" spans="1:5">
      <c r="A84" s="228" t="s">
        <v>178</v>
      </c>
      <c r="B84" s="228"/>
      <c r="C84" s="228"/>
      <c r="D84" s="229" t="s">
        <v>9</v>
      </c>
      <c r="E84" s="228">
        <v>0.0016</v>
      </c>
    </row>
    <row r="85" customHeight="1" spans="1:5">
      <c r="A85" s="228" t="s">
        <v>179</v>
      </c>
      <c r="B85" s="228"/>
      <c r="C85" s="228"/>
      <c r="D85" s="229" t="s">
        <v>9</v>
      </c>
      <c r="E85" s="228">
        <v>0.0707</v>
      </c>
    </row>
    <row r="86" customHeight="1" spans="1:5">
      <c r="A86" s="228" t="s">
        <v>180</v>
      </c>
      <c r="B86" s="228"/>
      <c r="C86" s="228"/>
      <c r="D86" s="229" t="s">
        <v>9</v>
      </c>
      <c r="E86" s="228">
        <v>0.0018</v>
      </c>
    </row>
    <row r="87" customHeight="1" spans="1:5">
      <c r="A87" s="228" t="s">
        <v>181</v>
      </c>
      <c r="B87" s="228"/>
      <c r="C87" s="228"/>
      <c r="D87" s="229" t="s">
        <v>9</v>
      </c>
      <c r="E87" s="228">
        <v>3.16</v>
      </c>
    </row>
    <row r="88" customHeight="1" spans="1:5">
      <c r="A88" s="228" t="s">
        <v>182</v>
      </c>
      <c r="B88" s="228"/>
      <c r="C88" s="228"/>
      <c r="D88" s="229" t="s">
        <v>9</v>
      </c>
      <c r="E88" s="228">
        <v>1.1</v>
      </c>
    </row>
    <row r="89" customHeight="1" spans="1:5">
      <c r="A89" s="228"/>
      <c r="B89" s="228"/>
      <c r="C89" s="228"/>
      <c r="D89" s="229" t="s">
        <v>9</v>
      </c>
      <c r="E89" s="228">
        <v>110</v>
      </c>
    </row>
    <row r="90" customHeight="1" spans="1:5">
      <c r="A90" s="228" t="s">
        <v>183</v>
      </c>
      <c r="B90" s="228"/>
      <c r="C90" s="228"/>
      <c r="D90" s="229" t="s">
        <v>9</v>
      </c>
      <c r="E90" s="228">
        <v>24.6</v>
      </c>
    </row>
    <row r="91" customHeight="1" spans="1:5">
      <c r="A91" s="228" t="s">
        <v>184</v>
      </c>
      <c r="B91" s="228"/>
      <c r="C91" s="228"/>
      <c r="D91" s="229" t="s">
        <v>9</v>
      </c>
      <c r="E91" s="228">
        <v>26</v>
      </c>
    </row>
    <row r="92" customHeight="1" spans="1:5">
      <c r="A92" s="228" t="s">
        <v>185</v>
      </c>
      <c r="B92" s="228"/>
      <c r="C92" s="228"/>
      <c r="D92" s="229" t="s">
        <v>9</v>
      </c>
      <c r="E92" s="228">
        <v>0.00105</v>
      </c>
    </row>
    <row r="93" customHeight="1" spans="1:5">
      <c r="A93" s="228" t="s">
        <v>186</v>
      </c>
      <c r="B93" s="228"/>
      <c r="C93" s="228"/>
      <c r="D93" s="229" t="s">
        <v>9</v>
      </c>
      <c r="E93" s="228">
        <v>0.865</v>
      </c>
    </row>
    <row r="94" customHeight="1" spans="1:5">
      <c r="A94" s="228" t="s">
        <v>187</v>
      </c>
      <c r="B94" s="228"/>
      <c r="C94" s="228"/>
      <c r="D94" s="229" t="s">
        <v>9</v>
      </c>
      <c r="E94" s="228">
        <v>2.5</v>
      </c>
    </row>
    <row r="95" customHeight="1" spans="1:5">
      <c r="A95" s="228" t="s">
        <v>188</v>
      </c>
      <c r="B95" s="228"/>
      <c r="C95" s="228"/>
      <c r="D95" s="229" t="s">
        <v>9</v>
      </c>
      <c r="E95" s="228">
        <v>17.3</v>
      </c>
    </row>
    <row r="96" customHeight="1" spans="1:5">
      <c r="A96" s="228" t="s">
        <v>189</v>
      </c>
      <c r="B96" s="228"/>
      <c r="C96" s="228"/>
      <c r="D96" s="229" t="s">
        <v>9</v>
      </c>
      <c r="E96" s="228">
        <v>18.4</v>
      </c>
    </row>
    <row r="97" customHeight="1" spans="1:5">
      <c r="A97" s="228" t="s">
        <v>190</v>
      </c>
      <c r="B97" s="228"/>
      <c r="C97" s="228"/>
      <c r="D97" s="229" t="s">
        <v>9</v>
      </c>
      <c r="E97" s="228">
        <v>0.775</v>
      </c>
    </row>
    <row r="98" customHeight="1" spans="1:5">
      <c r="A98" s="228"/>
      <c r="B98" s="228"/>
      <c r="C98" s="228"/>
      <c r="D98" s="229" t="s">
        <v>9</v>
      </c>
      <c r="E98" s="228">
        <v>77.5</v>
      </c>
    </row>
    <row r="99" customHeight="1" spans="1:5">
      <c r="A99" s="228" t="s">
        <v>191</v>
      </c>
      <c r="B99" s="228"/>
      <c r="C99" s="228"/>
      <c r="D99" s="229" t="s">
        <v>9</v>
      </c>
      <c r="E99" s="228">
        <v>140</v>
      </c>
    </row>
    <row r="100" customHeight="1" spans="1:5">
      <c r="A100" s="255" t="s">
        <v>192</v>
      </c>
      <c r="B100" s="228"/>
      <c r="C100" s="228"/>
      <c r="D100" s="229" t="s">
        <v>9</v>
      </c>
      <c r="E100" s="255">
        <v>19.6</v>
      </c>
    </row>
    <row r="101" customHeight="1" spans="1:5">
      <c r="A101" s="255" t="s">
        <v>193</v>
      </c>
      <c r="B101" s="228"/>
      <c r="C101" s="228"/>
      <c r="D101" s="229" t="s">
        <v>9</v>
      </c>
      <c r="E101" s="255">
        <v>12800000</v>
      </c>
    </row>
    <row r="102" customHeight="1" spans="1:5">
      <c r="A102" s="255" t="s">
        <v>194</v>
      </c>
      <c r="B102" s="228"/>
      <c r="C102" s="228"/>
      <c r="D102" s="229" t="s">
        <v>9</v>
      </c>
      <c r="E102" s="255">
        <v>21000</v>
      </c>
    </row>
    <row r="103" customHeight="1" spans="1:5">
      <c r="A103" s="256" t="s">
        <v>195</v>
      </c>
      <c r="B103" s="256"/>
      <c r="C103" s="256"/>
      <c r="D103" s="256"/>
      <c r="E103" s="257"/>
    </row>
    <row r="104" customHeight="1" spans="1:5">
      <c r="A104" s="258" t="s">
        <v>196</v>
      </c>
      <c r="B104" s="259" t="s">
        <v>197</v>
      </c>
      <c r="C104" s="244" t="s">
        <v>198</v>
      </c>
      <c r="D104" s="244"/>
      <c r="E104" s="236"/>
    </row>
    <row r="105" customHeight="1" spans="1:5">
      <c r="A105" s="246" t="s">
        <v>199</v>
      </c>
      <c r="B105" s="247"/>
      <c r="C105" s="247"/>
      <c r="D105" s="247"/>
      <c r="E105" s="248"/>
    </row>
    <row r="106" customHeight="1" spans="1:5">
      <c r="A106" s="228" t="s">
        <v>200</v>
      </c>
      <c r="B106" s="234" t="s">
        <v>201</v>
      </c>
      <c r="C106" s="228"/>
      <c r="D106" s="229" t="s">
        <v>9</v>
      </c>
      <c r="E106" s="230">
        <v>7.07406</v>
      </c>
    </row>
    <row r="107" customHeight="1" spans="1:5">
      <c r="A107" s="228" t="s">
        <v>202</v>
      </c>
      <c r="B107" s="234" t="s">
        <v>201</v>
      </c>
      <c r="C107" s="228"/>
      <c r="D107" s="229" t="s">
        <v>9</v>
      </c>
      <c r="E107" s="230">
        <v>1657.46</v>
      </c>
    </row>
    <row r="108" customHeight="1" spans="1:5">
      <c r="A108" s="228" t="s">
        <v>55</v>
      </c>
      <c r="B108" s="234" t="s">
        <v>201</v>
      </c>
      <c r="C108" s="228"/>
      <c r="D108" s="229" t="s">
        <v>9</v>
      </c>
      <c r="E108" s="230">
        <v>227.02</v>
      </c>
    </row>
    <row r="109" customHeight="1" spans="1:5">
      <c r="A109" s="228" t="s">
        <v>203</v>
      </c>
      <c r="B109" s="234" t="s">
        <v>204</v>
      </c>
      <c r="C109" s="228" t="s">
        <v>15</v>
      </c>
      <c r="D109" s="229"/>
      <c r="E109" s="240">
        <f>10^(E106-E107/(E108+E3))</f>
        <v>7.35884417534388</v>
      </c>
    </row>
    <row r="110" customHeight="1" spans="1:5">
      <c r="A110" s="228" t="s">
        <v>205</v>
      </c>
      <c r="B110" s="234" t="s">
        <v>206</v>
      </c>
      <c r="C110" s="228" t="s">
        <v>8</v>
      </c>
      <c r="D110" s="229"/>
      <c r="E110" s="240">
        <f>E107/(E106-LOG10(E5))-227.02</f>
        <v>260.187067799487</v>
      </c>
    </row>
  </sheetData>
  <mergeCells count="10">
    <mergeCell ref="A2:E2"/>
    <mergeCell ref="A16:E16"/>
    <mergeCell ref="A35:E35"/>
    <mergeCell ref="A103:E103"/>
    <mergeCell ref="A105:E105"/>
    <mergeCell ref="A31:A34"/>
    <mergeCell ref="A38:A39"/>
    <mergeCell ref="A88:A89"/>
    <mergeCell ref="A97:A98"/>
    <mergeCell ref="B83:B102"/>
  </mergeCells>
  <pageMargins left="0.275" right="0.118055555555556" top="0.196527777777778" bottom="0.118055555555556" header="0.0784722222222222" footer="0.0784722222222222"/>
  <pageSetup paperSize="9" scale="87" orientation="portrait"/>
  <headerFooter/>
  <drawing r:id="rId1"/>
  <legacyDrawing r:id="rId2"/>
  <oleObjects>
    <mc:AlternateContent xmlns:mc="http://schemas.openxmlformats.org/markup-compatibility/2006">
      <mc:Choice Requires="x14">
        <oleObject shapeId="97292" progId="Equation.KSEE3" r:id="rId3">
          <objectPr defaultSize="0" r:id="rId4">
            <anchor moveWithCells="1">
              <from>
                <xdr:col>3</xdr:col>
                <xdr:colOff>1085850</xdr:colOff>
                <xdr:row>23</xdr:row>
                <xdr:rowOff>47625</xdr:rowOff>
              </from>
              <to>
                <xdr:col>3</xdr:col>
                <xdr:colOff>1866900</xdr:colOff>
                <xdr:row>23</xdr:row>
                <xdr:rowOff>428625</xdr:rowOff>
              </to>
            </anchor>
          </objectPr>
        </oleObject>
      </mc:Choice>
      <mc:Fallback>
        <oleObject shapeId="97292" progId="Equation.KSEE3" r:id="rId3"/>
      </mc:Fallback>
    </mc:AlternateContent>
    <mc:AlternateContent xmlns:mc="http://schemas.openxmlformats.org/markup-compatibility/2006">
      <mc:Choice Requires="x14">
        <oleObject shapeId="97293" progId="Equation.KSEE3" r:id="rId5">
          <objectPr defaultSize="0" r:id="rId6">
            <anchor moveWithCells="1">
              <from>
                <xdr:col>3</xdr:col>
                <xdr:colOff>1038225</xdr:colOff>
                <xdr:row>16</xdr:row>
                <xdr:rowOff>28575</xdr:rowOff>
              </from>
              <to>
                <xdr:col>3</xdr:col>
                <xdr:colOff>1914525</xdr:colOff>
                <xdr:row>16</xdr:row>
                <xdr:rowOff>409575</xdr:rowOff>
              </to>
            </anchor>
          </objectPr>
        </oleObject>
      </mc:Choice>
      <mc:Fallback>
        <oleObject shapeId="97293" progId="Equation.KSEE3" r:id="rId5"/>
      </mc:Fallback>
    </mc:AlternateContent>
    <mc:AlternateContent xmlns:mc="http://schemas.openxmlformats.org/markup-compatibility/2006">
      <mc:Choice Requires="x14">
        <oleObject shapeId="97294" progId="Equation.KSEE3" r:id="rId7">
          <objectPr defaultSize="0" r:id="rId8">
            <anchor moveWithCells="1">
              <from>
                <xdr:col>3</xdr:col>
                <xdr:colOff>1000125</xdr:colOff>
                <xdr:row>17</xdr:row>
                <xdr:rowOff>19050</xdr:rowOff>
              </from>
              <to>
                <xdr:col>3</xdr:col>
                <xdr:colOff>2028825</xdr:colOff>
                <xdr:row>17</xdr:row>
                <xdr:rowOff>400050</xdr:rowOff>
              </to>
            </anchor>
          </objectPr>
        </oleObject>
      </mc:Choice>
      <mc:Fallback>
        <oleObject shapeId="97294" progId="Equation.KSEE3" r:id="rId7"/>
      </mc:Fallback>
    </mc:AlternateContent>
    <mc:AlternateContent xmlns:mc="http://schemas.openxmlformats.org/markup-compatibility/2006">
      <mc:Choice Requires="x14">
        <oleObject shapeId="97295" progId="Equation.KSEE3" r:id="rId9">
          <objectPr defaultSize="0" r:id="rId10">
            <anchor moveWithCells="1">
              <from>
                <xdr:col>3</xdr:col>
                <xdr:colOff>942975</xdr:colOff>
                <xdr:row>18</xdr:row>
                <xdr:rowOff>28575</xdr:rowOff>
              </from>
              <to>
                <xdr:col>3</xdr:col>
                <xdr:colOff>2105025</xdr:colOff>
                <xdr:row>18</xdr:row>
                <xdr:rowOff>419100</xdr:rowOff>
              </to>
            </anchor>
          </objectPr>
        </oleObject>
      </mc:Choice>
      <mc:Fallback>
        <oleObject shapeId="97295" progId="Equation.KSEE3" r:id="rId9"/>
      </mc:Fallback>
    </mc:AlternateContent>
    <mc:AlternateContent xmlns:mc="http://schemas.openxmlformats.org/markup-compatibility/2006">
      <mc:Choice Requires="x14">
        <oleObject shapeId="97296" progId="Equation.KSEE3" r:id="rId11">
          <objectPr defaultSize="0" r:id="rId12">
            <anchor moveWithCells="1">
              <from>
                <xdr:col>3</xdr:col>
                <xdr:colOff>895350</xdr:colOff>
                <xdr:row>19</xdr:row>
                <xdr:rowOff>38100</xdr:rowOff>
              </from>
              <to>
                <xdr:col>3</xdr:col>
                <xdr:colOff>2105025</xdr:colOff>
                <xdr:row>19</xdr:row>
                <xdr:rowOff>428625</xdr:rowOff>
              </to>
            </anchor>
          </objectPr>
        </oleObject>
      </mc:Choice>
      <mc:Fallback>
        <oleObject shapeId="97296" progId="Equation.KSEE3" r:id="rId11"/>
      </mc:Fallback>
    </mc:AlternateContent>
    <mc:AlternateContent xmlns:mc="http://schemas.openxmlformats.org/markup-compatibility/2006">
      <mc:Choice Requires="x14">
        <oleObject shapeId="97297" progId="Equation.KSEE3" r:id="rId13">
          <objectPr defaultSize="0" r:id="rId14">
            <anchor moveWithCells="1">
              <from>
                <xdr:col>3</xdr:col>
                <xdr:colOff>923925</xdr:colOff>
                <xdr:row>20</xdr:row>
                <xdr:rowOff>47625</xdr:rowOff>
              </from>
              <to>
                <xdr:col>3</xdr:col>
                <xdr:colOff>1943100</xdr:colOff>
                <xdr:row>20</xdr:row>
                <xdr:rowOff>438150</xdr:rowOff>
              </to>
            </anchor>
          </objectPr>
        </oleObject>
      </mc:Choice>
      <mc:Fallback>
        <oleObject shapeId="97297" progId="Equation.KSEE3" r:id="rId13"/>
      </mc:Fallback>
    </mc:AlternateContent>
    <mc:AlternateContent xmlns:mc="http://schemas.openxmlformats.org/markup-compatibility/2006">
      <mc:Choice Requires="x14">
        <oleObject shapeId="97299" progId="Equation.KSEE3" r:id="rId15">
          <objectPr defaultSize="0" r:id="rId16">
            <anchor moveWithCells="1">
              <from>
                <xdr:col>3</xdr:col>
                <xdr:colOff>790575</xdr:colOff>
                <xdr:row>27</xdr:row>
                <xdr:rowOff>28575</xdr:rowOff>
              </from>
              <to>
                <xdr:col>3</xdr:col>
                <xdr:colOff>2143125</xdr:colOff>
                <xdr:row>27</xdr:row>
                <xdr:rowOff>723900</xdr:rowOff>
              </to>
            </anchor>
          </objectPr>
        </oleObject>
      </mc:Choice>
      <mc:Fallback>
        <oleObject shapeId="97299" progId="Equation.KSEE3" r:id="rId15"/>
      </mc:Fallback>
    </mc:AlternateContent>
    <mc:AlternateContent xmlns:mc="http://schemas.openxmlformats.org/markup-compatibility/2006">
      <mc:Choice Requires="x14">
        <oleObject shapeId="97300" progId="Equation.KSEE3" r:id="rId17">
          <objectPr defaultSize="0" r:id="rId18">
            <anchor moveWithCells="1">
              <from>
                <xdr:col>3</xdr:col>
                <xdr:colOff>409575</xdr:colOff>
                <xdr:row>55</xdr:row>
                <xdr:rowOff>66675</xdr:rowOff>
              </from>
              <to>
                <xdr:col>3</xdr:col>
                <xdr:colOff>2486025</xdr:colOff>
                <xdr:row>55</xdr:row>
                <xdr:rowOff>361950</xdr:rowOff>
              </to>
            </anchor>
          </objectPr>
        </oleObject>
      </mc:Choice>
      <mc:Fallback>
        <oleObject shapeId="97300" progId="Equation.KSEE3" r:id="rId17"/>
      </mc:Fallback>
    </mc:AlternateContent>
    <mc:AlternateContent xmlns:mc="http://schemas.openxmlformats.org/markup-compatibility/2006">
      <mc:Choice Requires="x14">
        <oleObject shapeId="97301" progId="Equation.KSEE3" r:id="rId19">
          <objectPr defaultSize="0" r:id="rId20">
            <anchor moveWithCells="1">
              <from>
                <xdr:col>3</xdr:col>
                <xdr:colOff>581025</xdr:colOff>
                <xdr:row>56</xdr:row>
                <xdr:rowOff>76200</xdr:rowOff>
              </from>
              <to>
                <xdr:col>3</xdr:col>
                <xdr:colOff>2333625</xdr:colOff>
                <xdr:row>56</xdr:row>
                <xdr:rowOff>885825</xdr:rowOff>
              </to>
            </anchor>
          </objectPr>
        </oleObject>
      </mc:Choice>
      <mc:Fallback>
        <oleObject shapeId="97301" progId="Equation.KSEE3" r:id="rId19"/>
      </mc:Fallback>
    </mc:AlternateContent>
    <mc:AlternateContent xmlns:mc="http://schemas.openxmlformats.org/markup-compatibility/2006">
      <mc:Choice Requires="x14">
        <oleObject shapeId="97302" progId="Equation.KSEE3" r:id="rId21">
          <objectPr defaultSize="0" r:id="rId22">
            <anchor moveWithCells="1">
              <from>
                <xdr:col>3</xdr:col>
                <xdr:colOff>581025</xdr:colOff>
                <xdr:row>57</xdr:row>
                <xdr:rowOff>66675</xdr:rowOff>
              </from>
              <to>
                <xdr:col>3</xdr:col>
                <xdr:colOff>2343150</xdr:colOff>
                <xdr:row>57</xdr:row>
                <xdr:rowOff>866775</xdr:rowOff>
              </to>
            </anchor>
          </objectPr>
        </oleObject>
      </mc:Choice>
      <mc:Fallback>
        <oleObject shapeId="97302" progId="Equation.KSEE3" r:id="rId21"/>
      </mc:Fallback>
    </mc:AlternateContent>
    <mc:AlternateContent xmlns:mc="http://schemas.openxmlformats.org/markup-compatibility/2006">
      <mc:Choice Requires="x14">
        <oleObject shapeId="97303" progId="Equation.KSEE3" r:id="rId23">
          <objectPr defaultSize="0" r:id="rId24">
            <anchor moveWithCells="1">
              <from>
                <xdr:col>3</xdr:col>
                <xdr:colOff>790575</xdr:colOff>
                <xdr:row>58</xdr:row>
                <xdr:rowOff>28575</xdr:rowOff>
              </from>
              <to>
                <xdr:col>3</xdr:col>
                <xdr:colOff>2085975</xdr:colOff>
                <xdr:row>58</xdr:row>
                <xdr:rowOff>723900</xdr:rowOff>
              </to>
            </anchor>
          </objectPr>
        </oleObject>
      </mc:Choice>
      <mc:Fallback>
        <oleObject shapeId="97303" progId="Equation.KSEE3" r:id="rId23"/>
      </mc:Fallback>
    </mc:AlternateContent>
    <mc:AlternateContent xmlns:mc="http://schemas.openxmlformats.org/markup-compatibility/2006">
      <mc:Choice Requires="x14">
        <oleObject shapeId="97304" progId="Equation.KSEE3" r:id="rId25">
          <objectPr defaultSize="0" r:id="rId26">
            <anchor moveWithCells="1">
              <from>
                <xdr:col>3</xdr:col>
                <xdr:colOff>762000</xdr:colOff>
                <xdr:row>59</xdr:row>
                <xdr:rowOff>47625</xdr:rowOff>
              </from>
              <to>
                <xdr:col>3</xdr:col>
                <xdr:colOff>2114550</xdr:colOff>
                <xdr:row>59</xdr:row>
                <xdr:rowOff>733425</xdr:rowOff>
              </to>
            </anchor>
          </objectPr>
        </oleObject>
      </mc:Choice>
      <mc:Fallback>
        <oleObject shapeId="97304" progId="Equation.KSEE3" r:id="rId25"/>
      </mc:Fallback>
    </mc:AlternateContent>
    <mc:AlternateContent xmlns:mc="http://schemas.openxmlformats.org/markup-compatibility/2006">
      <mc:Choice Requires="x14">
        <oleObject shapeId="97305" progId="Equation.KSEE3" r:id="rId27">
          <objectPr defaultSize="0" r:id="rId28">
            <anchor moveWithCells="1">
              <from>
                <xdr:col>3</xdr:col>
                <xdr:colOff>495300</xdr:colOff>
                <xdr:row>61</xdr:row>
                <xdr:rowOff>28575</xdr:rowOff>
              </from>
              <to>
                <xdr:col>3</xdr:col>
                <xdr:colOff>2600325</xdr:colOff>
                <xdr:row>61</xdr:row>
                <xdr:rowOff>657225</xdr:rowOff>
              </to>
            </anchor>
          </objectPr>
        </oleObject>
      </mc:Choice>
      <mc:Fallback>
        <oleObject shapeId="97305" progId="Equation.KSEE3" r:id="rId27"/>
      </mc:Fallback>
    </mc:AlternateContent>
    <mc:AlternateContent xmlns:mc="http://schemas.openxmlformats.org/markup-compatibility/2006">
      <mc:Choice Requires="x14">
        <oleObject shapeId="97306" progId="Equation.KSEE3" r:id="rId29">
          <objectPr defaultSize="0" r:id="rId30">
            <anchor moveWithCells="1">
              <from>
                <xdr:col>3</xdr:col>
                <xdr:colOff>523875</xdr:colOff>
                <xdr:row>62</xdr:row>
                <xdr:rowOff>76200</xdr:rowOff>
              </from>
              <to>
                <xdr:col>3</xdr:col>
                <xdr:colOff>2466975</xdr:colOff>
                <xdr:row>62</xdr:row>
                <xdr:rowOff>581025</xdr:rowOff>
              </to>
            </anchor>
          </objectPr>
        </oleObject>
      </mc:Choice>
      <mc:Fallback>
        <oleObject shapeId="97306" progId="Equation.KSEE3" r:id="rId29"/>
      </mc:Fallback>
    </mc:AlternateContent>
    <mc:AlternateContent xmlns:mc="http://schemas.openxmlformats.org/markup-compatibility/2006">
      <mc:Choice Requires="x14">
        <oleObject shapeId="97307" progId="Equation.KSEE3" r:id="rId31">
          <objectPr defaultSize="0" r:id="rId32">
            <anchor moveWithCells="1">
              <from>
                <xdr:col>3</xdr:col>
                <xdr:colOff>1143000</xdr:colOff>
                <xdr:row>64</xdr:row>
                <xdr:rowOff>76200</xdr:rowOff>
              </from>
              <to>
                <xdr:col>3</xdr:col>
                <xdr:colOff>1895475</xdr:colOff>
                <xdr:row>64</xdr:row>
                <xdr:rowOff>733425</xdr:rowOff>
              </to>
            </anchor>
          </objectPr>
        </oleObject>
      </mc:Choice>
      <mc:Fallback>
        <oleObject shapeId="97307" progId="Equation.KSEE3" r:id="rId31"/>
      </mc:Fallback>
    </mc:AlternateContent>
    <mc:AlternateContent xmlns:mc="http://schemas.openxmlformats.org/markup-compatibility/2006">
      <mc:Choice Requires="x14">
        <oleObject shapeId="97308" progId="Equation.KSEE3" r:id="rId33">
          <objectPr defaultSize="0" r:id="rId34">
            <anchor moveWithCells="1">
              <from>
                <xdr:col>3</xdr:col>
                <xdr:colOff>914400</xdr:colOff>
                <xdr:row>63</xdr:row>
                <xdr:rowOff>123825</xdr:rowOff>
              </from>
              <to>
                <xdr:col>3</xdr:col>
                <xdr:colOff>2085975</xdr:colOff>
                <xdr:row>63</xdr:row>
                <xdr:rowOff>561975</xdr:rowOff>
              </to>
            </anchor>
          </objectPr>
        </oleObject>
      </mc:Choice>
      <mc:Fallback>
        <oleObject shapeId="97308" progId="Equation.KSEE3" r:id="rId33"/>
      </mc:Fallback>
    </mc:AlternateContent>
    <mc:AlternateContent xmlns:mc="http://schemas.openxmlformats.org/markup-compatibility/2006">
      <mc:Choice Requires="x14">
        <oleObject shapeId="97309" progId="Equation.KSEE3" r:id="rId35">
          <objectPr defaultSize="0" r:id="rId36">
            <anchor moveWithCells="1">
              <from>
                <xdr:col>3</xdr:col>
                <xdr:colOff>914400</xdr:colOff>
                <xdr:row>65</xdr:row>
                <xdr:rowOff>57150</xdr:rowOff>
              </from>
              <to>
                <xdr:col>3</xdr:col>
                <xdr:colOff>2133600</xdr:colOff>
                <xdr:row>65</xdr:row>
                <xdr:rowOff>523875</xdr:rowOff>
              </to>
            </anchor>
          </objectPr>
        </oleObject>
      </mc:Choice>
      <mc:Fallback>
        <oleObject shapeId="97309" progId="Equation.KSEE3" r:id="rId35"/>
      </mc:Fallback>
    </mc:AlternateContent>
    <mc:AlternateContent xmlns:mc="http://schemas.openxmlformats.org/markup-compatibility/2006">
      <mc:Choice Requires="x14">
        <oleObject shapeId="97310" progId="Equation.KSEE3" r:id="rId37">
          <objectPr defaultSize="0" r:id="rId38">
            <anchor moveWithCells="1">
              <from>
                <xdr:col>3</xdr:col>
                <xdr:colOff>542925</xdr:colOff>
                <xdr:row>66</xdr:row>
                <xdr:rowOff>57150</xdr:rowOff>
              </from>
              <to>
                <xdr:col>3</xdr:col>
                <xdr:colOff>2486025</xdr:colOff>
                <xdr:row>66</xdr:row>
                <xdr:rowOff>561975</xdr:rowOff>
              </to>
            </anchor>
          </objectPr>
        </oleObject>
      </mc:Choice>
      <mc:Fallback>
        <oleObject shapeId="97310" progId="Equation.KSEE3" r:id="rId37"/>
      </mc:Fallback>
    </mc:AlternateContent>
    <mc:AlternateContent xmlns:mc="http://schemas.openxmlformats.org/markup-compatibility/2006">
      <mc:Choice Requires="x14">
        <oleObject shapeId="97312" progId="Equation.KSEE3" r:id="rId39">
          <objectPr defaultSize="0" r:id="rId40">
            <anchor moveWithCells="1">
              <from>
                <xdr:col>3</xdr:col>
                <xdr:colOff>904875</xdr:colOff>
                <xdr:row>67</xdr:row>
                <xdr:rowOff>66675</xdr:rowOff>
              </from>
              <to>
                <xdr:col>3</xdr:col>
                <xdr:colOff>2085975</xdr:colOff>
                <xdr:row>67</xdr:row>
                <xdr:rowOff>495300</xdr:rowOff>
              </to>
            </anchor>
          </objectPr>
        </oleObject>
      </mc:Choice>
      <mc:Fallback>
        <oleObject shapeId="97312" progId="Equation.KSEE3" r:id="rId39"/>
      </mc:Fallback>
    </mc:AlternateContent>
    <mc:AlternateContent xmlns:mc="http://schemas.openxmlformats.org/markup-compatibility/2006">
      <mc:Choice Requires="x14">
        <oleObject shapeId="97313" progId="Equation.KSEE3" r:id="rId41">
          <objectPr defaultSize="0" r:id="rId42">
            <anchor moveWithCells="1">
              <from>
                <xdr:col>3</xdr:col>
                <xdr:colOff>638175</xdr:colOff>
                <xdr:row>28</xdr:row>
                <xdr:rowOff>47625</xdr:rowOff>
              </from>
              <to>
                <xdr:col>3</xdr:col>
                <xdr:colOff>2381250</xdr:colOff>
                <xdr:row>28</xdr:row>
                <xdr:rowOff>762000</xdr:rowOff>
              </to>
            </anchor>
          </objectPr>
        </oleObject>
      </mc:Choice>
      <mc:Fallback>
        <oleObject shapeId="97313" progId="Equation.KSEE3" r:id="rId41"/>
      </mc:Fallback>
    </mc:AlternateContent>
    <mc:AlternateContent xmlns:mc="http://schemas.openxmlformats.org/markup-compatibility/2006">
      <mc:Choice Requires="x14">
        <oleObject shapeId="97314" progId="Equation.KSEE3" r:id="rId43">
          <objectPr defaultSize="0" r:id="rId44">
            <anchor moveWithCells="1">
              <from>
                <xdr:col>3</xdr:col>
                <xdr:colOff>857250</xdr:colOff>
                <xdr:row>29</xdr:row>
                <xdr:rowOff>66675</xdr:rowOff>
              </from>
              <to>
                <xdr:col>3</xdr:col>
                <xdr:colOff>2190750</xdr:colOff>
                <xdr:row>29</xdr:row>
                <xdr:rowOff>542925</xdr:rowOff>
              </to>
            </anchor>
          </objectPr>
        </oleObject>
      </mc:Choice>
      <mc:Fallback>
        <oleObject shapeId="97314" progId="Equation.KSEE3" r:id="rId43"/>
      </mc:Fallback>
    </mc:AlternateContent>
    <mc:AlternateContent xmlns:mc="http://schemas.openxmlformats.org/markup-compatibility/2006">
      <mc:Choice Requires="x14">
        <oleObject shapeId="97315" progId="Equation.KSEE3" r:id="rId45">
          <objectPr defaultSize="0" r:id="rId46">
            <anchor moveWithCells="1">
              <from>
                <xdr:col>3</xdr:col>
                <xdr:colOff>857250</xdr:colOff>
                <xdr:row>108</xdr:row>
                <xdr:rowOff>66675</xdr:rowOff>
              </from>
              <to>
                <xdr:col>3</xdr:col>
                <xdr:colOff>2162175</xdr:colOff>
                <xdr:row>108</xdr:row>
                <xdr:rowOff>361950</xdr:rowOff>
              </to>
            </anchor>
          </objectPr>
        </oleObject>
      </mc:Choice>
      <mc:Fallback>
        <oleObject shapeId="97315" progId="Equation.KSEE3" r:id="rId45"/>
      </mc:Fallback>
    </mc:AlternateContent>
    <mc:AlternateContent xmlns:mc="http://schemas.openxmlformats.org/markup-compatibility/2006">
      <mc:Choice Requires="x14">
        <oleObject shapeId="97316" progId="Equation.KSEE3" r:id="rId47">
          <objectPr defaultSize="0" r:id="rId48">
            <anchor moveWithCells="1">
              <from>
                <xdr:col>3</xdr:col>
                <xdr:colOff>419100</xdr:colOff>
                <xdr:row>109</xdr:row>
                <xdr:rowOff>76200</xdr:rowOff>
              </from>
              <to>
                <xdr:col>3</xdr:col>
                <xdr:colOff>2762250</xdr:colOff>
                <xdr:row>109</xdr:row>
                <xdr:rowOff>381000</xdr:rowOff>
              </to>
            </anchor>
          </objectPr>
        </oleObject>
      </mc:Choice>
      <mc:Fallback>
        <oleObject shapeId="97316" progId="Equation.KSEE3" r:id="rId47"/>
      </mc:Fallback>
    </mc:AlternateContent>
    <mc:AlternateContent xmlns:mc="http://schemas.openxmlformats.org/markup-compatibility/2006">
      <mc:Choice Requires="x14">
        <oleObject shapeId="97317" progId="Equation.KSEE3" r:id="rId49">
          <objectPr defaultSize="0" r:id="rId50">
            <anchor moveWithCells="1">
              <from>
                <xdr:col>3</xdr:col>
                <xdr:colOff>1371600</xdr:colOff>
                <xdr:row>33</xdr:row>
                <xdr:rowOff>28575</xdr:rowOff>
              </from>
              <to>
                <xdr:col>3</xdr:col>
                <xdr:colOff>1628775</xdr:colOff>
                <xdr:row>33</xdr:row>
                <xdr:rowOff>428625</xdr:rowOff>
              </to>
            </anchor>
          </objectPr>
        </oleObject>
      </mc:Choice>
      <mc:Fallback>
        <oleObject shapeId="97317" progId="Equation.KSEE3" r:id="rId49"/>
      </mc:Fallback>
    </mc:AlternateContent>
    <mc:AlternateContent xmlns:mc="http://schemas.openxmlformats.org/markup-compatibility/2006">
      <mc:Choice Requires="x14">
        <oleObject shapeId="97318" progId="Equation.KSEE3" r:id="rId51">
          <objectPr defaultSize="0" r:id="rId52">
            <anchor moveWithCells="1">
              <from>
                <xdr:col>3</xdr:col>
                <xdr:colOff>1228725</xdr:colOff>
                <xdr:row>31</xdr:row>
                <xdr:rowOff>28575</xdr:rowOff>
              </from>
              <to>
                <xdr:col>3</xdr:col>
                <xdr:colOff>1790700</xdr:colOff>
                <xdr:row>31</xdr:row>
                <xdr:rowOff>447675</xdr:rowOff>
              </to>
            </anchor>
          </objectPr>
        </oleObject>
      </mc:Choice>
      <mc:Fallback>
        <oleObject shapeId="97318" progId="Equation.KSEE3" r:id="rId51"/>
      </mc:Fallback>
    </mc:AlternateContent>
    <mc:AlternateContent xmlns:mc="http://schemas.openxmlformats.org/markup-compatibility/2006">
      <mc:Choice Requires="x14">
        <oleObject shapeId="97319" progId="Equation.KSEE3" r:id="rId53">
          <objectPr defaultSize="0" r:id="rId54">
            <anchor moveWithCells="1">
              <from>
                <xdr:col>3</xdr:col>
                <xdr:colOff>1028700</xdr:colOff>
                <xdr:row>32</xdr:row>
                <xdr:rowOff>28575</xdr:rowOff>
              </from>
              <to>
                <xdr:col>3</xdr:col>
                <xdr:colOff>1876425</xdr:colOff>
                <xdr:row>32</xdr:row>
                <xdr:rowOff>495300</xdr:rowOff>
              </to>
            </anchor>
          </objectPr>
        </oleObject>
      </mc:Choice>
      <mc:Fallback>
        <oleObject shapeId="97319" progId="Equation.KSEE3" r:id="rId53"/>
      </mc:Fallback>
    </mc:AlternateContent>
    <mc:AlternateContent xmlns:mc="http://schemas.openxmlformats.org/markup-compatibility/2006">
      <mc:Choice Requires="x14">
        <oleObject shapeId="97320" progId="Equation.KSEE3" r:id="rId55">
          <objectPr defaultSize="0" r:id="rId56">
            <anchor moveWithCells="1">
              <from>
                <xdr:col>3</xdr:col>
                <xdr:colOff>1228725</xdr:colOff>
                <xdr:row>30</xdr:row>
                <xdr:rowOff>28575</xdr:rowOff>
              </from>
              <to>
                <xdr:col>3</xdr:col>
                <xdr:colOff>1733550</xdr:colOff>
                <xdr:row>30</xdr:row>
                <xdr:rowOff>447675</xdr:rowOff>
              </to>
            </anchor>
          </objectPr>
        </oleObject>
      </mc:Choice>
      <mc:Fallback>
        <oleObject shapeId="97320" progId="Equation.KSEE3" r:id="rId55"/>
      </mc:Fallback>
    </mc:AlternateContent>
    <mc:AlternateContent xmlns:mc="http://schemas.openxmlformats.org/markup-compatibility/2006">
      <mc:Choice Requires="x14">
        <oleObject shapeId="97321" progId="Equation.KSEE3" r:id="rId57">
          <objectPr defaultSize="0" r:id="rId58">
            <anchor moveWithCells="1">
              <from>
                <xdr:col>3</xdr:col>
                <xdr:colOff>219075</xdr:colOff>
                <xdr:row>48</xdr:row>
                <xdr:rowOff>85725</xdr:rowOff>
              </from>
              <to>
                <xdr:col>3</xdr:col>
                <xdr:colOff>2676525</xdr:colOff>
                <xdr:row>48</xdr:row>
                <xdr:rowOff>1162050</xdr:rowOff>
              </to>
            </anchor>
          </objectPr>
        </oleObject>
      </mc:Choice>
      <mc:Fallback>
        <oleObject shapeId="97321" progId="Equation.KSEE3" r:id="rId57"/>
      </mc:Fallback>
    </mc:AlternateContent>
    <mc:AlternateContent xmlns:mc="http://schemas.openxmlformats.org/markup-compatibility/2006">
      <mc:Choice Requires="x14">
        <oleObject shapeId="97322" progId="Equation.KSEE3" r:id="rId59">
          <objectPr defaultSize="0" r:id="rId60">
            <anchor moveWithCells="1">
              <from>
                <xdr:col>3</xdr:col>
                <xdr:colOff>428625</xdr:colOff>
                <xdr:row>49</xdr:row>
                <xdr:rowOff>76200</xdr:rowOff>
              </from>
              <to>
                <xdr:col>3</xdr:col>
                <xdr:colOff>2466975</xdr:colOff>
                <xdr:row>49</xdr:row>
                <xdr:rowOff>1133475</xdr:rowOff>
              </to>
            </anchor>
          </objectPr>
        </oleObject>
      </mc:Choice>
      <mc:Fallback>
        <oleObject shapeId="97322" progId="Equation.KSEE3" r:id="rId59"/>
      </mc:Fallback>
    </mc:AlternateContent>
    <mc:AlternateContent xmlns:mc="http://schemas.openxmlformats.org/markup-compatibility/2006">
      <mc:Choice Requires="x14">
        <oleObject shapeId="97323" progId="Equation.KSEE3" r:id="rId61">
          <objectPr defaultSize="0" r:id="rId62">
            <anchor moveWithCells="1">
              <from>
                <xdr:col>3</xdr:col>
                <xdr:colOff>1066800</xdr:colOff>
                <xdr:row>50</xdr:row>
                <xdr:rowOff>47625</xdr:rowOff>
              </from>
              <to>
                <xdr:col>3</xdr:col>
                <xdr:colOff>1857375</xdr:colOff>
                <xdr:row>50</xdr:row>
                <xdr:rowOff>628650</xdr:rowOff>
              </to>
            </anchor>
          </objectPr>
        </oleObject>
      </mc:Choice>
      <mc:Fallback>
        <oleObject shapeId="97323" progId="Equation.KSEE3" r:id="rId61"/>
      </mc:Fallback>
    </mc:AlternateContent>
    <mc:AlternateContent xmlns:mc="http://schemas.openxmlformats.org/markup-compatibility/2006">
      <mc:Choice Requires="x14">
        <oleObject shapeId="97324" progId="Equation.KSEE3" r:id="rId63">
          <objectPr defaultSize="0" r:id="rId64">
            <anchor moveWithCells="1">
              <from>
                <xdr:col>3</xdr:col>
                <xdr:colOff>1057275</xdr:colOff>
                <xdr:row>51</xdr:row>
                <xdr:rowOff>104775</xdr:rowOff>
              </from>
              <to>
                <xdr:col>3</xdr:col>
                <xdr:colOff>1828800</xdr:colOff>
                <xdr:row>51</xdr:row>
                <xdr:rowOff>638175</xdr:rowOff>
              </to>
            </anchor>
          </objectPr>
        </oleObject>
      </mc:Choice>
      <mc:Fallback>
        <oleObject shapeId="97324" progId="Equation.KSEE3" r:id="rId63"/>
      </mc:Fallback>
    </mc:AlternateContent>
    <mc:AlternateContent xmlns:mc="http://schemas.openxmlformats.org/markup-compatibility/2006">
      <mc:Choice Requires="x14">
        <oleObject shapeId="97325" progId="Equation.KSEE3" r:id="rId65">
          <objectPr defaultSize="0" r:id="rId66">
            <anchor moveWithCells="1">
              <from>
                <xdr:col>3</xdr:col>
                <xdr:colOff>942975</xdr:colOff>
                <xdr:row>52</xdr:row>
                <xdr:rowOff>57150</xdr:rowOff>
              </from>
              <to>
                <xdr:col>3</xdr:col>
                <xdr:colOff>1933575</xdr:colOff>
                <xdr:row>52</xdr:row>
                <xdr:rowOff>666750</xdr:rowOff>
              </to>
            </anchor>
          </objectPr>
        </oleObject>
      </mc:Choice>
      <mc:Fallback>
        <oleObject shapeId="97325" progId="Equation.KSEE3" r:id="rId65"/>
      </mc:Fallback>
    </mc:AlternateContent>
    <mc:AlternateContent xmlns:mc="http://schemas.openxmlformats.org/markup-compatibility/2006">
      <mc:Choice Requires="x14">
        <oleObject shapeId="97326" progId="Equation.KSEE3" r:id="rId67">
          <objectPr defaultSize="0" r:id="rId68">
            <anchor moveWithCells="1">
              <from>
                <xdr:col>3</xdr:col>
                <xdr:colOff>914400</xdr:colOff>
                <xdr:row>53</xdr:row>
                <xdr:rowOff>66675</xdr:rowOff>
              </from>
              <to>
                <xdr:col>3</xdr:col>
                <xdr:colOff>1914525</xdr:colOff>
                <xdr:row>53</xdr:row>
                <xdr:rowOff>581025</xdr:rowOff>
              </to>
            </anchor>
          </objectPr>
        </oleObject>
      </mc:Choice>
      <mc:Fallback>
        <oleObject shapeId="97326" progId="Equation.KSEE3" r:id="rId67"/>
      </mc:Fallback>
    </mc:AlternateContent>
    <mc:AlternateContent xmlns:mc="http://schemas.openxmlformats.org/markup-compatibility/2006">
      <mc:Choice Requires="x14">
        <oleObject shapeId="97328" progId="Equation.KSEE3" r:id="rId69">
          <objectPr defaultSize="0" r:id="rId70">
            <anchor moveWithCells="1">
              <from>
                <xdr:col>3</xdr:col>
                <xdr:colOff>1019175</xdr:colOff>
                <xdr:row>54</xdr:row>
                <xdr:rowOff>133350</xdr:rowOff>
              </from>
              <to>
                <xdr:col>3</xdr:col>
                <xdr:colOff>1781175</xdr:colOff>
                <xdr:row>54</xdr:row>
                <xdr:rowOff>457200</xdr:rowOff>
              </to>
            </anchor>
          </objectPr>
        </oleObject>
      </mc:Choice>
      <mc:Fallback>
        <oleObject shapeId="97328" progId="Equation.KSEE3" r:id="rId69"/>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HK198"/>
  <sheetViews>
    <sheetView zoomScale="55" zoomScaleNormal="55" zoomScaleSheetLayoutView="85" topLeftCell="A33" workbookViewId="0">
      <selection activeCell="F53" sqref="F53"/>
    </sheetView>
  </sheetViews>
  <sheetFormatPr defaultColWidth="9" defaultRowHeight="35.1" customHeight="1"/>
  <cols>
    <col min="1" max="1" width="13.625" style="92" customWidth="1"/>
    <col min="2" max="2" width="50.375" style="95" customWidth="1"/>
    <col min="3" max="3" width="16.25" style="92" customWidth="1"/>
    <col min="4" max="4" width="47.5" style="143" customWidth="1"/>
    <col min="5" max="5" width="22.75" style="96" customWidth="1"/>
    <col min="6" max="6" width="85.25" style="62" customWidth="1"/>
    <col min="7" max="7" width="10.625" style="63"/>
    <col min="8" max="219" width="9" style="63"/>
    <col min="220" max="16384" width="9" style="56"/>
  </cols>
  <sheetData>
    <row r="1" customHeight="1" spans="1:6">
      <c r="A1" s="144" t="s">
        <v>0</v>
      </c>
      <c r="B1" s="145" t="s">
        <v>1</v>
      </c>
      <c r="C1" s="145" t="s">
        <v>2</v>
      </c>
      <c r="D1" s="146" t="s">
        <v>3</v>
      </c>
      <c r="E1" s="147" t="s">
        <v>4</v>
      </c>
    </row>
    <row r="2" customHeight="1" spans="1:6">
      <c r="A2" s="148" t="s">
        <v>207</v>
      </c>
      <c r="B2" s="149"/>
      <c r="C2" s="149"/>
      <c r="D2" s="150"/>
      <c r="E2" s="151"/>
    </row>
    <row r="3" customHeight="1" spans="1:6">
      <c r="A3" s="152" t="s">
        <v>93</v>
      </c>
      <c r="B3" s="101" t="s">
        <v>208</v>
      </c>
      <c r="C3" s="81" t="s">
        <v>85</v>
      </c>
      <c r="D3" s="153" t="s">
        <v>9</v>
      </c>
      <c r="E3" s="154">
        <v>50</v>
      </c>
      <c r="F3" s="97" t="s">
        <v>209</v>
      </c>
    </row>
    <row r="4" customHeight="1" spans="1:6">
      <c r="A4" s="152" t="s">
        <v>210</v>
      </c>
      <c r="B4" s="101" t="s">
        <v>211</v>
      </c>
      <c r="C4" s="81" t="s">
        <v>85</v>
      </c>
      <c r="D4" s="153" t="s">
        <v>9</v>
      </c>
      <c r="E4" s="154">
        <v>57</v>
      </c>
      <c r="F4" s="97"/>
    </row>
    <row r="5" customHeight="1" spans="1:6">
      <c r="A5" s="155" t="s">
        <v>212</v>
      </c>
      <c r="B5" s="101" t="s">
        <v>213</v>
      </c>
      <c r="C5" s="81" t="s">
        <v>85</v>
      </c>
      <c r="D5" s="153" t="s">
        <v>9</v>
      </c>
      <c r="E5" s="156">
        <v>3.5</v>
      </c>
      <c r="F5" s="97"/>
    </row>
    <row r="6" customHeight="1" spans="1:6">
      <c r="A6" s="155" t="s">
        <v>96</v>
      </c>
      <c r="B6" s="101" t="s">
        <v>214</v>
      </c>
      <c r="C6" s="81" t="s">
        <v>85</v>
      </c>
      <c r="D6" s="153" t="s">
        <v>9</v>
      </c>
      <c r="E6" s="156">
        <v>50</v>
      </c>
      <c r="F6" s="97"/>
    </row>
    <row r="7" customHeight="1" spans="1:6">
      <c r="A7" s="155" t="s">
        <v>215</v>
      </c>
      <c r="B7" s="101" t="s">
        <v>216</v>
      </c>
      <c r="C7" s="81" t="s">
        <v>85</v>
      </c>
      <c r="D7" s="153" t="s">
        <v>9</v>
      </c>
      <c r="E7" s="156">
        <v>57</v>
      </c>
      <c r="F7" s="97"/>
    </row>
    <row r="8" customHeight="1" spans="1:6">
      <c r="A8" s="157" t="s">
        <v>217</v>
      </c>
      <c r="B8" s="158" t="s">
        <v>218</v>
      </c>
      <c r="C8" s="159" t="s">
        <v>85</v>
      </c>
      <c r="D8" s="160" t="s">
        <v>9</v>
      </c>
      <c r="E8" s="161">
        <v>3.5</v>
      </c>
      <c r="F8" s="97"/>
    </row>
    <row r="9" customHeight="1" spans="1:6">
      <c r="A9" s="162" t="s">
        <v>5</v>
      </c>
      <c r="B9" s="163"/>
      <c r="C9" s="163"/>
      <c r="D9" s="164"/>
      <c r="E9" s="165"/>
    </row>
    <row r="10" customHeight="1" spans="1:6">
      <c r="A10" s="166"/>
      <c r="B10" s="107" t="s">
        <v>219</v>
      </c>
      <c r="C10" s="107"/>
      <c r="D10" s="103" t="s">
        <v>9</v>
      </c>
      <c r="E10" s="156" t="s">
        <v>220</v>
      </c>
    </row>
    <row r="11" customHeight="1" spans="1:6">
      <c r="A11" s="167" t="s">
        <v>6</v>
      </c>
      <c r="B11" s="168" t="s">
        <v>7</v>
      </c>
      <c r="C11" s="81"/>
      <c r="D11" s="153" t="s">
        <v>9</v>
      </c>
      <c r="E11" s="154">
        <v>250</v>
      </c>
      <c r="F11" s="97" t="s">
        <v>221</v>
      </c>
    </row>
    <row r="12" customHeight="1" spans="1:6">
      <c r="A12" s="169"/>
      <c r="B12" s="170"/>
      <c r="C12" s="81"/>
      <c r="D12" s="153" t="s">
        <v>222</v>
      </c>
      <c r="E12" s="154" t="s">
        <v>8</v>
      </c>
    </row>
    <row r="13" customHeight="1" spans="1:6">
      <c r="A13" s="167" t="s">
        <v>10</v>
      </c>
      <c r="B13" s="168" t="s">
        <v>223</v>
      </c>
      <c r="C13" s="81"/>
      <c r="D13" s="153" t="s">
        <v>9</v>
      </c>
      <c r="E13" s="154">
        <v>2000</v>
      </c>
    </row>
    <row r="14" customHeight="1" spans="1:6">
      <c r="A14" s="171"/>
      <c r="B14" s="170"/>
      <c r="C14" s="81"/>
      <c r="D14" s="153" t="s">
        <v>222</v>
      </c>
      <c r="E14" s="154" t="s">
        <v>156</v>
      </c>
    </row>
    <row r="15" customHeight="1" spans="1:6">
      <c r="A15" s="171"/>
      <c r="B15" s="168" t="s">
        <v>224</v>
      </c>
      <c r="C15" s="81"/>
      <c r="D15" s="153" t="s">
        <v>9</v>
      </c>
      <c r="E15" s="154"/>
    </row>
    <row r="16" customHeight="1" spans="1:6">
      <c r="A16" s="169"/>
      <c r="B16" s="170"/>
      <c r="C16" s="81"/>
      <c r="D16" s="153" t="s">
        <v>222</v>
      </c>
      <c r="E16" s="154" t="s">
        <v>156</v>
      </c>
    </row>
    <row r="17" customHeight="1" spans="1:6">
      <c r="A17" s="152" t="s">
        <v>13</v>
      </c>
      <c r="B17" s="101" t="s">
        <v>14</v>
      </c>
      <c r="C17" s="81" t="s">
        <v>15</v>
      </c>
      <c r="D17" s="153" t="s">
        <v>9</v>
      </c>
      <c r="E17" s="154">
        <v>1000</v>
      </c>
    </row>
    <row r="18" customHeight="1" spans="1:6">
      <c r="A18" s="152" t="s">
        <v>16</v>
      </c>
      <c r="B18" s="101" t="s">
        <v>17</v>
      </c>
      <c r="C18" s="81" t="s">
        <v>15</v>
      </c>
      <c r="D18" s="153" t="s">
        <v>9</v>
      </c>
      <c r="E18" s="154">
        <v>500</v>
      </c>
    </row>
    <row r="19" customHeight="1" spans="1:6">
      <c r="A19" s="152" t="s">
        <v>18</v>
      </c>
      <c r="B19" s="101" t="s">
        <v>19</v>
      </c>
      <c r="C19" s="81" t="s">
        <v>15</v>
      </c>
      <c r="D19" s="153" t="s">
        <v>20</v>
      </c>
      <c r="E19" s="172">
        <f>E17-E18</f>
        <v>500</v>
      </c>
    </row>
    <row r="20" customHeight="1" spans="1:6">
      <c r="A20" s="167" t="s">
        <v>225</v>
      </c>
      <c r="B20" s="168" t="s">
        <v>226</v>
      </c>
      <c r="C20" s="81"/>
      <c r="D20" s="153" t="s">
        <v>9</v>
      </c>
      <c r="E20" s="154">
        <v>2.54</v>
      </c>
    </row>
    <row r="21" customHeight="1" spans="1:6">
      <c r="A21" s="171"/>
      <c r="B21" s="170"/>
      <c r="C21" s="81"/>
      <c r="D21" s="153" t="s">
        <v>222</v>
      </c>
      <c r="E21" s="154" t="s">
        <v>23</v>
      </c>
    </row>
    <row r="22" customHeight="1" spans="1:6">
      <c r="A22" s="171"/>
      <c r="B22" s="168" t="s">
        <v>227</v>
      </c>
      <c r="C22" s="81"/>
      <c r="D22" s="153" t="s">
        <v>9</v>
      </c>
      <c r="E22" s="154"/>
    </row>
    <row r="23" customHeight="1" spans="1:6">
      <c r="A23" s="169"/>
      <c r="B23" s="170"/>
      <c r="C23" s="81"/>
      <c r="D23" s="153" t="s">
        <v>222</v>
      </c>
      <c r="E23" s="154" t="s">
        <v>23</v>
      </c>
    </row>
    <row r="24" customHeight="1" spans="1:6">
      <c r="A24" s="152" t="s">
        <v>228</v>
      </c>
      <c r="B24" s="101" t="s">
        <v>25</v>
      </c>
      <c r="C24" s="81" t="s">
        <v>26</v>
      </c>
      <c r="D24" s="153" t="s">
        <v>24</v>
      </c>
      <c r="E24" s="172" t="str">
        <f>IF(OR(E10="液体",E10="两相流(液体+气体)",E10="两相流(液体+蒸汽)"),E186/1000,"")</f>
        <v/>
      </c>
    </row>
    <row r="25" customHeight="1" spans="1:6">
      <c r="A25" s="167" t="s">
        <v>147</v>
      </c>
      <c r="B25" s="173" t="s">
        <v>229</v>
      </c>
      <c r="C25" s="81" t="s">
        <v>149</v>
      </c>
      <c r="D25" s="153" t="s">
        <v>230</v>
      </c>
      <c r="E25" s="154"/>
    </row>
    <row r="26" customHeight="1" spans="1:6">
      <c r="A26" s="152" t="s">
        <v>166</v>
      </c>
      <c r="B26" s="173" t="s">
        <v>167</v>
      </c>
      <c r="C26" s="81"/>
      <c r="D26" s="153" t="s">
        <v>230</v>
      </c>
      <c r="E26" s="154">
        <v>1</v>
      </c>
    </row>
    <row r="27" customHeight="1" spans="1:6">
      <c r="A27" s="152" t="s">
        <v>168</v>
      </c>
      <c r="B27" s="173" t="s">
        <v>146</v>
      </c>
      <c r="C27" s="81"/>
      <c r="D27" s="153" t="s">
        <v>231</v>
      </c>
      <c r="E27" s="154">
        <v>1.3</v>
      </c>
    </row>
    <row r="28" customHeight="1" spans="1:6">
      <c r="A28" s="167" t="s">
        <v>232</v>
      </c>
      <c r="B28" s="173" t="s">
        <v>233</v>
      </c>
      <c r="C28" s="81"/>
      <c r="D28" s="153" t="s">
        <v>234</v>
      </c>
      <c r="E28" s="154" t="s">
        <v>235</v>
      </c>
    </row>
    <row r="29" customHeight="1" spans="1:6">
      <c r="A29" s="171"/>
      <c r="B29" s="174"/>
      <c r="C29" s="81"/>
      <c r="D29" s="153" t="s">
        <v>9</v>
      </c>
      <c r="E29" s="154">
        <v>1</v>
      </c>
      <c r="F29" s="97" t="s">
        <v>236</v>
      </c>
    </row>
    <row r="30" customHeight="1" spans="1:6">
      <c r="A30" s="169"/>
      <c r="B30" s="170"/>
      <c r="C30" s="81"/>
      <c r="D30" s="153" t="s">
        <v>237</v>
      </c>
      <c r="E30" s="154" t="s">
        <v>238</v>
      </c>
    </row>
    <row r="31" customHeight="1" spans="1:6">
      <c r="A31" s="152" t="s">
        <v>30</v>
      </c>
      <c r="B31" s="101" t="s">
        <v>31</v>
      </c>
      <c r="C31" s="81" t="s">
        <v>32</v>
      </c>
      <c r="D31" s="153" t="s">
        <v>9</v>
      </c>
      <c r="E31" s="154">
        <v>22.12</v>
      </c>
    </row>
    <row r="32" customHeight="1" spans="1:6">
      <c r="A32" s="152" t="s">
        <v>33</v>
      </c>
      <c r="B32" s="101" t="s">
        <v>34</v>
      </c>
      <c r="C32" s="81"/>
      <c r="D32" s="153" t="s">
        <v>35</v>
      </c>
      <c r="E32" s="172">
        <f>E17/E31</f>
        <v>45.2079566003617</v>
      </c>
    </row>
    <row r="33" customHeight="1" spans="1:6">
      <c r="A33" s="152" t="s">
        <v>36</v>
      </c>
      <c r="B33" s="101" t="s">
        <v>37</v>
      </c>
      <c r="C33" s="81" t="s">
        <v>15</v>
      </c>
      <c r="D33" s="153" t="s">
        <v>9</v>
      </c>
      <c r="E33" s="172">
        <f>E197</f>
        <v>3976.00366670689</v>
      </c>
    </row>
    <row r="34" customHeight="1" spans="1:6">
      <c r="A34" s="152" t="s">
        <v>38</v>
      </c>
      <c r="B34" s="101" t="s">
        <v>39</v>
      </c>
      <c r="C34" s="81" t="s">
        <v>40</v>
      </c>
      <c r="D34" s="153" t="s">
        <v>41</v>
      </c>
      <c r="E34" s="172">
        <f>IF(E12="℃",E11+273.15,IF(E12="K",E11))</f>
        <v>523.15</v>
      </c>
    </row>
    <row r="35" s="56" customFormat="1" customHeight="1" spans="1:6">
      <c r="A35" s="155" t="s">
        <v>205</v>
      </c>
      <c r="B35" s="107" t="s">
        <v>239</v>
      </c>
      <c r="C35" s="103" t="s">
        <v>8</v>
      </c>
      <c r="D35" s="103" t="s">
        <v>221</v>
      </c>
      <c r="E35" s="175">
        <f>E198</f>
        <v>179.812496330442</v>
      </c>
    </row>
    <row r="36" customHeight="1" spans="1:6">
      <c r="A36" s="176" t="s">
        <v>240</v>
      </c>
      <c r="B36" s="105"/>
      <c r="C36" s="105"/>
      <c r="D36" s="120"/>
      <c r="E36" s="177"/>
    </row>
    <row r="37" customHeight="1" spans="1:6">
      <c r="A37" s="166"/>
      <c r="B37" s="107" t="s">
        <v>241</v>
      </c>
      <c r="C37" s="107"/>
      <c r="D37" s="103" t="s">
        <v>9</v>
      </c>
      <c r="E37" s="178" t="s">
        <v>242</v>
      </c>
    </row>
    <row r="38" customHeight="1" spans="1:6">
      <c r="A38" s="166"/>
      <c r="B38" s="107" t="s">
        <v>243</v>
      </c>
      <c r="C38" s="107"/>
      <c r="D38" s="103" t="s">
        <v>9</v>
      </c>
      <c r="E38" s="178" t="s">
        <v>244</v>
      </c>
    </row>
    <row r="39" customHeight="1" spans="1:6">
      <c r="A39" s="155" t="s">
        <v>245</v>
      </c>
      <c r="B39" s="107" t="s">
        <v>246</v>
      </c>
      <c r="C39" s="103" t="s">
        <v>85</v>
      </c>
      <c r="D39" s="103" t="s">
        <v>9</v>
      </c>
      <c r="E39" s="156">
        <v>50</v>
      </c>
    </row>
    <row r="40" customHeight="1" spans="1:6">
      <c r="A40" s="155" t="s">
        <v>247</v>
      </c>
      <c r="B40" s="107" t="s">
        <v>248</v>
      </c>
      <c r="C40" s="103" t="s">
        <v>249</v>
      </c>
      <c r="D40" s="103" t="s">
        <v>9</v>
      </c>
      <c r="E40" s="156">
        <v>1.6</v>
      </c>
    </row>
    <row r="41" customHeight="1" spans="1:6">
      <c r="A41" s="155" t="s">
        <v>68</v>
      </c>
      <c r="B41" s="107" t="s">
        <v>250</v>
      </c>
      <c r="C41" s="107"/>
      <c r="D41" s="103" t="s">
        <v>9</v>
      </c>
      <c r="E41" s="156">
        <v>0.9</v>
      </c>
      <c r="F41" s="97" t="s">
        <v>251</v>
      </c>
    </row>
    <row r="42" customHeight="1" spans="1:6">
      <c r="A42" s="155" t="s">
        <v>252</v>
      </c>
      <c r="B42" s="107" t="s">
        <v>253</v>
      </c>
      <c r="C42" s="107"/>
      <c r="D42" s="103" t="s">
        <v>254</v>
      </c>
      <c r="E42" s="178">
        <v>0.72</v>
      </c>
      <c r="F42" s="97" t="s">
        <v>255</v>
      </c>
    </row>
    <row r="43" customHeight="1" spans="1:6">
      <c r="A43" s="155"/>
      <c r="B43" s="107" t="s">
        <v>256</v>
      </c>
      <c r="C43" s="107"/>
      <c r="D43" s="103" t="s">
        <v>9</v>
      </c>
      <c r="E43" s="156" t="s">
        <v>257</v>
      </c>
    </row>
    <row r="44" customHeight="1" spans="1:6">
      <c r="A44" s="155"/>
      <c r="B44" s="107" t="s">
        <v>258</v>
      </c>
      <c r="C44" s="103" t="s">
        <v>85</v>
      </c>
      <c r="D44" s="103"/>
      <c r="E44" s="156">
        <v>50</v>
      </c>
    </row>
    <row r="45" customHeight="1" spans="1:6">
      <c r="A45" s="155" t="s">
        <v>88</v>
      </c>
      <c r="B45" s="107" t="s">
        <v>259</v>
      </c>
      <c r="C45" s="107"/>
      <c r="D45" s="103" t="s">
        <v>9</v>
      </c>
      <c r="E45" s="156">
        <v>50</v>
      </c>
    </row>
    <row r="46" customHeight="1" spans="1:6">
      <c r="A46" s="155" t="s">
        <v>91</v>
      </c>
      <c r="B46" s="107" t="s">
        <v>260</v>
      </c>
      <c r="C46" s="107"/>
      <c r="D46" s="103" t="s">
        <v>9</v>
      </c>
      <c r="E46" s="156">
        <v>40</v>
      </c>
    </row>
    <row r="47" customHeight="1" spans="1:6">
      <c r="A47" s="179" t="s">
        <v>261</v>
      </c>
      <c r="B47" s="180"/>
      <c r="C47" s="180"/>
      <c r="D47" s="181"/>
      <c r="E47" s="182"/>
    </row>
    <row r="48" customHeight="1" spans="1:6">
      <c r="A48" s="183"/>
      <c r="B48" s="107" t="s">
        <v>66</v>
      </c>
      <c r="C48" s="116"/>
      <c r="D48" s="103" t="s">
        <v>262</v>
      </c>
      <c r="E48" s="184" t="str">
        <f>IF(E10="液体",E75,"")</f>
        <v/>
      </c>
      <c r="F48" s="185"/>
    </row>
    <row r="49" customHeight="1" spans="1:6">
      <c r="A49" s="155" t="s">
        <v>263</v>
      </c>
      <c r="B49" s="107" t="s">
        <v>263</v>
      </c>
      <c r="C49" s="103"/>
      <c r="D49" s="103"/>
      <c r="E49" s="184">
        <f>E62</f>
        <v>13.6614784144672</v>
      </c>
    </row>
    <row r="50" customHeight="1" spans="1:6">
      <c r="A50" s="155" t="s">
        <v>264</v>
      </c>
      <c r="B50" s="107" t="s">
        <v>265</v>
      </c>
      <c r="C50" s="103" t="s">
        <v>78</v>
      </c>
      <c r="D50" s="103"/>
      <c r="E50" s="184">
        <f>IF(E43="等百分比",E85,IF(E43="线性",E86,IF(E43="快开",E87,)))</f>
        <v>72.5385209935158</v>
      </c>
    </row>
    <row r="51" customHeight="1" spans="1:6">
      <c r="A51" s="186" t="s">
        <v>60</v>
      </c>
      <c r="B51" s="187" t="s">
        <v>266</v>
      </c>
      <c r="C51" s="103" t="s">
        <v>62</v>
      </c>
      <c r="D51" s="153"/>
      <c r="E51" s="184"/>
    </row>
    <row r="52" customHeight="1" spans="1:6">
      <c r="A52" s="188"/>
      <c r="B52" s="187" t="s">
        <v>61</v>
      </c>
      <c r="C52" s="103" t="s">
        <v>62</v>
      </c>
      <c r="D52" s="103"/>
      <c r="E52" s="184"/>
    </row>
    <row r="53" customHeight="1" spans="1:6">
      <c r="A53" s="155" t="s">
        <v>65</v>
      </c>
      <c r="B53" s="107" t="s">
        <v>64</v>
      </c>
      <c r="C53" s="103" t="s">
        <v>267</v>
      </c>
      <c r="D53" s="103"/>
      <c r="E53" s="184"/>
    </row>
    <row r="54" customHeight="1" spans="1:6">
      <c r="A54" s="189"/>
      <c r="B54" s="107" t="s">
        <v>268</v>
      </c>
      <c r="C54" s="190"/>
      <c r="D54" s="116"/>
      <c r="E54" s="184">
        <f>(0.0504*0.785*E39*E39/E46)^2</f>
        <v>6.1144925625</v>
      </c>
    </row>
    <row r="55" customHeight="1" spans="1:6">
      <c r="A55" s="162" t="s">
        <v>44</v>
      </c>
      <c r="B55" s="163"/>
      <c r="C55" s="163"/>
      <c r="D55" s="164"/>
      <c r="E55" s="165"/>
    </row>
    <row r="56" customHeight="1" spans="1:6">
      <c r="A56" s="155" t="s">
        <v>269</v>
      </c>
      <c r="B56" s="121" t="s">
        <v>270</v>
      </c>
      <c r="C56" s="81"/>
      <c r="D56" s="153"/>
      <c r="E56" s="172" t="str">
        <f>IF(OR(E10="液体",E10="两相流(液体+气体)",E10="两相流(液体+蒸汽)"),E177/E156*SQRT(E24/E19),"")</f>
        <v/>
      </c>
      <c r="F56" s="62" t="e">
        <f t="shared" ref="F56:F61" si="0">E56*1.158</f>
        <v>#VALUE!</v>
      </c>
    </row>
    <row r="57" customHeight="1" spans="1:6">
      <c r="A57" s="191" t="s">
        <v>271</v>
      </c>
      <c r="B57" s="121" t="s">
        <v>272</v>
      </c>
      <c r="C57" s="81"/>
      <c r="D57" s="153"/>
      <c r="E57" s="172" t="str">
        <f>IF(OR(E10="液体",E10="两相流(液体+气体)",E10="两相流(液体+蒸汽)"),E177/E156/E82*SQRT(E24/E19),"")</f>
        <v/>
      </c>
      <c r="F57" s="62" t="e">
        <f t="shared" si="0"/>
        <v>#VALUE!</v>
      </c>
    </row>
    <row r="58" customHeight="1" spans="1:6">
      <c r="A58" s="192" t="s">
        <v>273</v>
      </c>
      <c r="B58" s="123" t="s">
        <v>274</v>
      </c>
      <c r="C58" s="81"/>
      <c r="D58" s="153"/>
      <c r="E58" s="172" t="str">
        <f>IF(OR(E10="液体",E10="两相流(液体+气体)",E10="两相流(液体+蒸汽)"),E177/E156/E81*SQRT(E24/(E17-E84*E33)),"")</f>
        <v/>
      </c>
      <c r="F58" s="62" t="e">
        <f t="shared" si="0"/>
        <v>#VALUE!</v>
      </c>
    </row>
    <row r="59" customHeight="1" spans="1:6">
      <c r="A59" s="152" t="s">
        <v>275</v>
      </c>
      <c r="B59" s="121" t="s">
        <v>276</v>
      </c>
      <c r="C59" s="81"/>
      <c r="D59" s="153"/>
      <c r="E59" s="172" t="str">
        <f>IF(OR(E10="液体",E10="两相流(液体+气体)",E10="两相流(液体+蒸汽)"),E177/E156/E83*SQRT(E24/(E17-E84*E33)),"")</f>
        <v/>
      </c>
      <c r="F59" s="62" t="e">
        <f t="shared" si="0"/>
        <v>#VALUE!</v>
      </c>
    </row>
    <row r="60" customHeight="1" spans="1:6">
      <c r="A60" s="152" t="s">
        <v>277</v>
      </c>
      <c r="B60" s="101" t="s">
        <v>278</v>
      </c>
      <c r="C60" s="81"/>
      <c r="D60" s="153"/>
      <c r="E60" s="172" t="str">
        <f>IF(OR(E10="液体",E10="两相流(液体+气体)",E10="两相流(液体+蒸汽)"),E177/E156/E137*SQRT(E24/E19),"")</f>
        <v/>
      </c>
      <c r="F60" s="62" t="e">
        <f t="shared" si="0"/>
        <v>#VALUE!</v>
      </c>
    </row>
    <row r="61" customHeight="1" spans="1:6">
      <c r="A61" s="152"/>
      <c r="B61" s="101" t="s">
        <v>279</v>
      </c>
      <c r="C61" s="81" t="s">
        <v>91</v>
      </c>
      <c r="D61" s="153"/>
      <c r="E61" s="172" t="str">
        <f>IF(AND(OR(E10="液体",E10="两相流(液体+蒸汽)",E10="两相流(液体+气体)"),E72="紊流",E110="N"),E56,IF(AND(OR(E10="液体",E10="两相流(液体+蒸汽)",E10="两相流(液体+气体)"),E110="N",E68="阻塞流"),E58,IF(AND(OR(E10="液体",E10="两相流(液体+蒸汽)",E10="两相流(液体+气体)"),E110="Y",E69="非阻塞流"),E57,IF(AND(OR(E10="液体",E10="两相流(液体+蒸汽)",E10="两相流(液体+气体)"),E110="Y",E69="阻塞流"),E59,IF(AND(OR(E10="液体",E10="两相流(液体+蒸汽)",E10="两相流(液体+气体)"),E72="非紊流"),E60,"")))))</f>
        <v/>
      </c>
      <c r="F61" s="62" t="e">
        <f t="shared" si="0"/>
        <v>#VALUE!</v>
      </c>
    </row>
    <row r="62" customHeight="1" spans="1:6">
      <c r="A62" s="152" t="s">
        <v>55</v>
      </c>
      <c r="B62" s="101" t="s">
        <v>280</v>
      </c>
      <c r="C62" s="81" t="s">
        <v>91</v>
      </c>
      <c r="D62" s="81"/>
      <c r="E62" s="172">
        <f>IF(AND(E10="液体"),E61,IF(AND(E10="气体"),E95,IF(AND(E10="蒸汽"),E102,IF(AND(E10="液体"),E61,IF(AND(E10="两相流(液体+气体)"),E108,IF(AND(E10="两相流(液体+蒸汽)"),E108,""))))))</f>
        <v>13.6614784144672</v>
      </c>
    </row>
    <row r="63" customHeight="1" spans="1:6">
      <c r="A63" s="152" t="s">
        <v>57</v>
      </c>
      <c r="B63" s="101" t="s">
        <v>58</v>
      </c>
      <c r="C63" s="81"/>
      <c r="D63" s="81"/>
      <c r="E63" s="172">
        <f>E62</f>
        <v>13.6614784144672</v>
      </c>
    </row>
    <row r="64" customHeight="1" spans="1:6">
      <c r="A64" s="167" t="s">
        <v>60</v>
      </c>
      <c r="B64" s="168" t="s">
        <v>281</v>
      </c>
      <c r="C64" s="81" t="s">
        <v>62</v>
      </c>
      <c r="D64" s="101" t="s">
        <v>266</v>
      </c>
      <c r="E64" s="172">
        <f>IF(E10="液体",E177/0.785/E111^2/3600*1000000,IF(E10="气体",E180/0.785/E111^2/3600*1000000,IF(E10="蒸汽",E182/0.785/E111^2/3600*1000000,IF(E10="两相流(液体+气体)",(E177+E184)/0.785/E111^2/3600*1000000,IF(E10="两相流(液体+蒸汽)",(E177+E182)/0.785/E111^2/3600*1000000,"")))))</f>
        <v>111.45103677327</v>
      </c>
    </row>
    <row r="65" customHeight="1" spans="1:5">
      <c r="A65" s="171"/>
      <c r="B65" s="174"/>
      <c r="C65" s="193"/>
      <c r="D65" s="168" t="s">
        <v>61</v>
      </c>
      <c r="E65" s="194">
        <f>IF(E10="液体",E177/0.785/E111^2/3600*1000000,IF(E10="气体",E180/0.785/E111^2/3600*1000000,IF(E10="蒸汽",E182/0.785/E111^2/3600*1000000,IF(E10="两相流(液体+气体)",(E177+E184)/0.785/E111^2/3600*1000000,IF(E10="两相流(液体+蒸汽)",(E177+E182)/0.785/E111^2/3600*1000000,"")))))</f>
        <v>111.45103677327</v>
      </c>
    </row>
    <row r="66" customHeight="1" spans="1:5">
      <c r="A66" s="195"/>
      <c r="B66" s="196"/>
      <c r="C66" s="159" t="s">
        <v>282</v>
      </c>
      <c r="D66" s="159" t="s">
        <v>283</v>
      </c>
      <c r="E66" s="197">
        <f>E64/340</f>
        <v>0.327797166980205</v>
      </c>
    </row>
    <row r="67" customHeight="1" spans="1:5">
      <c r="A67" s="148" t="s">
        <v>66</v>
      </c>
      <c r="B67" s="149"/>
      <c r="C67" s="149"/>
      <c r="D67" s="150"/>
      <c r="E67" s="151"/>
    </row>
    <row r="68" customHeight="1" spans="1:5">
      <c r="A68" s="167" t="s">
        <v>197</v>
      </c>
      <c r="B68" s="121" t="s">
        <v>270</v>
      </c>
      <c r="C68" s="81"/>
      <c r="D68" s="81" t="s">
        <v>284</v>
      </c>
      <c r="E68" s="172" t="str">
        <f>IF(E19&lt;E81^2*(E17-E84*E33),"非阻塞流","阻塞流")</f>
        <v>阻塞流</v>
      </c>
    </row>
    <row r="69" customHeight="1" spans="1:5">
      <c r="A69" s="171"/>
      <c r="B69" s="121" t="s">
        <v>272</v>
      </c>
      <c r="C69" s="81"/>
      <c r="D69" s="81" t="s">
        <v>285</v>
      </c>
      <c r="E69" s="172" t="str">
        <f>IF(E19&lt;(E83/E82)^2*(E17-E84*E33),"非阻塞流","阻塞流")</f>
        <v>阻塞流</v>
      </c>
    </row>
    <row r="70" customHeight="1" spans="1:5">
      <c r="A70" s="171"/>
      <c r="B70" s="123" t="s">
        <v>286</v>
      </c>
      <c r="C70" s="81"/>
      <c r="D70" s="81" t="s">
        <v>287</v>
      </c>
      <c r="E70" s="172" t="str">
        <f>IF(E19&gt;=E81^2*(E17-E84*E33),"阻塞流","非阻塞流")</f>
        <v>阻塞流</v>
      </c>
    </row>
    <row r="71" customHeight="1" spans="1:5">
      <c r="A71" s="171"/>
      <c r="B71" s="121" t="s">
        <v>276</v>
      </c>
      <c r="C71" s="81"/>
      <c r="D71" s="81" t="s">
        <v>288</v>
      </c>
      <c r="E71" s="172" t="str">
        <f>IF(E19&gt;=(E83/E82)^2*(E17-E84*E33),"阻塞流","非阻塞流")</f>
        <v>阻塞流</v>
      </c>
    </row>
    <row r="72" customHeight="1" spans="1:5">
      <c r="A72" s="169"/>
      <c r="B72" s="101" t="s">
        <v>289</v>
      </c>
      <c r="C72" s="81"/>
      <c r="D72" s="81" t="s">
        <v>290</v>
      </c>
      <c r="E72" s="172" t="str">
        <f>IF(E139&lt;10000,"非紊流","紊流")</f>
        <v>非紊流</v>
      </c>
    </row>
    <row r="73" ht="38.1" customHeight="1" spans="1:5">
      <c r="A73" s="152" t="s">
        <v>291</v>
      </c>
      <c r="B73" s="168" t="s">
        <v>292</v>
      </c>
      <c r="C73" s="81"/>
      <c r="D73" s="81"/>
      <c r="E73" s="172">
        <f>E81^2</f>
        <v>0.8649</v>
      </c>
    </row>
    <row r="74" ht="42" customHeight="1" spans="1:5">
      <c r="A74" s="152" t="s">
        <v>293</v>
      </c>
      <c r="B74" s="170"/>
      <c r="C74" s="81"/>
      <c r="D74" s="81"/>
      <c r="E74" s="172">
        <f>E19/(E17-E33)</f>
        <v>-0.168010545683661</v>
      </c>
    </row>
    <row r="75" customHeight="1" spans="1:5">
      <c r="A75" s="167"/>
      <c r="B75" s="170"/>
      <c r="C75" s="81"/>
      <c r="D75" s="81"/>
      <c r="E75" s="172" t="str">
        <f>IF(E74&gt;0.4,"无气蚀",IF(0.4&gt;E74&gt;0.66,"初始气蚀",IF(0.66&gt;E74&gt;1,"空化",IF(E74&lt;0.66,"闪蒸",))))</f>
        <v>初始气蚀</v>
      </c>
    </row>
    <row r="76" customHeight="1" spans="1:5">
      <c r="A76" s="167" t="s">
        <v>294</v>
      </c>
      <c r="B76" s="101" t="s">
        <v>295</v>
      </c>
      <c r="C76" s="81"/>
      <c r="D76" s="81" t="s">
        <v>296</v>
      </c>
      <c r="E76" s="172" t="str">
        <f>IF(E149&lt;E146*E150,"非阻塞流","阻塞流")</f>
        <v>非阻塞流</v>
      </c>
    </row>
    <row r="77" customHeight="1" spans="1:5">
      <c r="A77" s="171"/>
      <c r="B77" s="101" t="s">
        <v>297</v>
      </c>
      <c r="C77" s="81"/>
      <c r="D77" s="81" t="s">
        <v>298</v>
      </c>
      <c r="E77" s="172" t="str">
        <f>IF(E149&lt;E146*E151,"非阻塞流","阻塞流")</f>
        <v>非阻塞流</v>
      </c>
    </row>
    <row r="78" customHeight="1" spans="1:5">
      <c r="A78" s="171"/>
      <c r="B78" s="101" t="s">
        <v>299</v>
      </c>
      <c r="C78" s="81"/>
      <c r="D78" s="81" t="s">
        <v>300</v>
      </c>
      <c r="E78" s="172" t="str">
        <f>IF(E149&gt;=E146*E150,"阻塞流","非阻塞流")</f>
        <v>非阻塞流</v>
      </c>
    </row>
    <row r="79" customHeight="1" spans="1:5">
      <c r="A79" s="171"/>
      <c r="B79" s="101" t="s">
        <v>301</v>
      </c>
      <c r="C79" s="81"/>
      <c r="D79" s="81" t="s">
        <v>302</v>
      </c>
      <c r="E79" s="172" t="str">
        <f>IF(E149&gt;=E146*E151,"阻塞流","非阻塞流")</f>
        <v>非阻塞流</v>
      </c>
    </row>
    <row r="80" customHeight="1" spans="1:5">
      <c r="A80" s="171"/>
      <c r="B80" s="101" t="s">
        <v>54</v>
      </c>
      <c r="C80" s="81"/>
      <c r="D80" s="81" t="s">
        <v>290</v>
      </c>
      <c r="E80" s="172" t="str">
        <f>IF(E139&lt;10000,"非紊流","紊流")</f>
        <v>非紊流</v>
      </c>
    </row>
    <row r="81" customHeight="1" spans="1:219">
      <c r="A81" s="152" t="s">
        <v>68</v>
      </c>
      <c r="B81" s="101" t="s">
        <v>69</v>
      </c>
      <c r="C81" s="81"/>
      <c r="D81" s="153" t="s">
        <v>9</v>
      </c>
      <c r="E81" s="172">
        <v>0.93</v>
      </c>
    </row>
    <row r="82" ht="60" customHeight="1" spans="1:219">
      <c r="A82" s="152" t="s">
        <v>70</v>
      </c>
      <c r="B82" s="101" t="s">
        <v>71</v>
      </c>
      <c r="C82" s="81"/>
      <c r="D82" s="153"/>
      <c r="E82" s="172">
        <f>1/SQRT(1+E132/E157*(E63/E111^2)^2)</f>
        <v>1</v>
      </c>
    </row>
    <row r="83" ht="63" customHeight="1" spans="1:219">
      <c r="A83" s="152" t="s">
        <v>72</v>
      </c>
      <c r="B83" s="109" t="s">
        <v>73</v>
      </c>
      <c r="C83" s="81"/>
      <c r="D83" s="153"/>
      <c r="E83" s="172">
        <f>E81/SQRT(1+E81^2/E157*E132*(E63/E111^2)^2)</f>
        <v>0.93</v>
      </c>
    </row>
    <row r="84" ht="45.95" customHeight="1" spans="1:219">
      <c r="A84" s="152" t="s">
        <v>74</v>
      </c>
      <c r="B84" s="101" t="s">
        <v>75</v>
      </c>
      <c r="C84" s="81"/>
      <c r="D84" s="153"/>
      <c r="E84" s="172">
        <f>0.96-0.28*SQRT(E33/(E31*1000))</f>
        <v>0.841289575459198</v>
      </c>
    </row>
    <row r="85" ht="36.95" customHeight="1" spans="1:219">
      <c r="A85" s="152" t="s">
        <v>76</v>
      </c>
      <c r="B85" s="101" t="s">
        <v>77</v>
      </c>
      <c r="C85" s="81" t="s">
        <v>78</v>
      </c>
      <c r="D85" s="153"/>
      <c r="E85" s="172">
        <f>(1-LOG10(E88)/LOG10(E114))*100</f>
        <v>72.5385209935158</v>
      </c>
    </row>
    <row r="86" ht="41.1" customHeight="1" spans="1:219">
      <c r="A86" s="152"/>
      <c r="B86" s="101" t="s">
        <v>79</v>
      </c>
      <c r="C86" s="81" t="s">
        <v>78</v>
      </c>
      <c r="D86" s="153"/>
      <c r="E86" s="172">
        <f>(E115-E88)/((E115-1)*E88)*100</f>
        <v>100</v>
      </c>
    </row>
    <row r="87" ht="39.95" customHeight="1" spans="1:219">
      <c r="A87" s="152"/>
      <c r="B87" s="101" t="s">
        <v>80</v>
      </c>
      <c r="C87" s="81" t="s">
        <v>78</v>
      </c>
      <c r="D87" s="153"/>
      <c r="E87" s="172">
        <f>(1-SQRT(E115*(E88-1)/((E115-1)*E88)))*100</f>
        <v>100</v>
      </c>
    </row>
    <row r="88" customHeight="1" spans="1:219">
      <c r="A88" s="198"/>
      <c r="B88" s="158" t="s">
        <v>81</v>
      </c>
      <c r="C88" s="159"/>
      <c r="D88" s="199"/>
      <c r="E88" s="197">
        <f>E116/E62</f>
        <v>2.92794079721568</v>
      </c>
    </row>
    <row r="89" customHeight="1" spans="1:219">
      <c r="A89" s="200" t="s">
        <v>303</v>
      </c>
      <c r="B89" s="201"/>
      <c r="C89" s="201"/>
      <c r="D89" s="202"/>
      <c r="E89" s="203"/>
    </row>
    <row r="90" ht="59.1" customHeight="1" spans="1:219">
      <c r="A90" s="152" t="s">
        <v>304</v>
      </c>
      <c r="B90" s="101" t="s">
        <v>295</v>
      </c>
      <c r="C90" s="81"/>
      <c r="D90" s="153"/>
      <c r="E90" s="172" t="str">
        <f>IF(E10="气体",E179/(E163*E17*E152)*SQRT(22.4*E187*E153*E34/E149),"")</f>
        <v/>
      </c>
      <c r="F90" s="62" t="e">
        <f t="shared" ref="F90:F95" si="1">E90*1.158</f>
        <v>#VALUE!</v>
      </c>
    </row>
    <row r="91" ht="57" customHeight="1" spans="1:219">
      <c r="A91" s="152" t="s">
        <v>305</v>
      </c>
      <c r="B91" s="101" t="s">
        <v>306</v>
      </c>
      <c r="C91" s="81"/>
      <c r="D91" s="153"/>
      <c r="E91" s="172" t="str">
        <f>IF(E10="气体",E179/(E163*E82*E152*E17)*SQRT(22.4*E187*E153*E34/E149),"")</f>
        <v/>
      </c>
      <c r="F91" s="62" t="e">
        <f t="shared" si="1"/>
        <v>#VALUE!</v>
      </c>
    </row>
    <row r="92" ht="62.1" customHeight="1" spans="1:219">
      <c r="A92" s="152" t="s">
        <v>307</v>
      </c>
      <c r="B92" s="101" t="s">
        <v>299</v>
      </c>
      <c r="C92" s="81"/>
      <c r="D92" s="153"/>
      <c r="E92" s="172" t="str">
        <f>IF(E10="气体",E179/(0.667*E163*E17)*SQRT(22.4*E187*E153*E34/(E150*E146)),"")</f>
        <v/>
      </c>
      <c r="F92" s="62" t="e">
        <f t="shared" si="1"/>
        <v>#VALUE!</v>
      </c>
    </row>
    <row r="93" ht="60.95" customHeight="1" spans="1:219">
      <c r="A93" s="152" t="s">
        <v>308</v>
      </c>
      <c r="B93" s="101" t="s">
        <v>301</v>
      </c>
      <c r="C93" s="81"/>
      <c r="D93" s="153"/>
      <c r="E93" s="172" t="str">
        <f>IF(E10="气体",E179/(0.667*E163*E17*E82)*SQRT(22.4*E187*E153*E34/(E146*E151)),"")</f>
        <v/>
      </c>
      <c r="F93" s="62" t="e">
        <f t="shared" si="1"/>
        <v>#VALUE!</v>
      </c>
    </row>
    <row r="94" s="142" customFormat="1" ht="60" customHeight="1" spans="1:219">
      <c r="A94" s="152" t="s">
        <v>309</v>
      </c>
      <c r="B94" s="101" t="s">
        <v>278</v>
      </c>
      <c r="C94" s="81"/>
      <c r="D94" s="81"/>
      <c r="E94" s="204" t="str">
        <f>IF(E10="气体",E179/(E168*E137)*SQRT(22.4*E187*E34/(E19*(E17+E18))),"")</f>
        <v/>
      </c>
      <c r="F94" s="62" t="e">
        <f t="shared" si="1"/>
        <v>#VALUE!</v>
      </c>
      <c r="G94" s="92"/>
      <c r="H94" s="92"/>
      <c r="I94" s="92"/>
      <c r="J94" s="92"/>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92"/>
      <c r="CG94" s="92"/>
      <c r="CH94" s="92"/>
      <c r="CI94" s="92"/>
      <c r="CJ94" s="92"/>
      <c r="CK94" s="92"/>
      <c r="CL94" s="92"/>
      <c r="CM94" s="92"/>
      <c r="CN94" s="92"/>
      <c r="CO94" s="92"/>
      <c r="CP94" s="92"/>
      <c r="CQ94" s="92"/>
      <c r="CR94" s="92"/>
      <c r="CS94" s="92"/>
      <c r="CT94" s="92"/>
      <c r="CU94" s="92"/>
      <c r="CV94" s="92"/>
      <c r="CW94" s="92"/>
      <c r="CX94" s="92"/>
      <c r="CY94" s="92"/>
      <c r="CZ94" s="92"/>
      <c r="DA94" s="92"/>
      <c r="DB94" s="92"/>
      <c r="DC94" s="92"/>
      <c r="DD94" s="92"/>
      <c r="DE94" s="92"/>
      <c r="DF94" s="92"/>
      <c r="DG94" s="92"/>
      <c r="DH94" s="92"/>
      <c r="DI94" s="92"/>
      <c r="DJ94" s="92"/>
      <c r="DK94" s="92"/>
      <c r="DL94" s="92"/>
      <c r="DM94" s="92"/>
      <c r="DN94" s="92"/>
      <c r="DO94" s="92"/>
      <c r="DP94" s="92"/>
      <c r="DQ94" s="92"/>
      <c r="DR94" s="92"/>
      <c r="DS94" s="92"/>
      <c r="DT94" s="92"/>
      <c r="DU94" s="92"/>
      <c r="DV94" s="92"/>
      <c r="DW94" s="92"/>
      <c r="DX94" s="92"/>
      <c r="DY94" s="92"/>
      <c r="DZ94" s="92"/>
      <c r="EA94" s="92"/>
      <c r="EB94" s="92"/>
      <c r="EC94" s="92"/>
      <c r="ED94" s="92"/>
      <c r="EE94" s="92"/>
      <c r="EF94" s="92"/>
      <c r="EG94" s="92"/>
      <c r="EH94" s="92"/>
      <c r="EI94" s="92"/>
      <c r="EJ94" s="92"/>
      <c r="EK94" s="92"/>
      <c r="EL94" s="92"/>
      <c r="EM94" s="92"/>
      <c r="EN94" s="92"/>
      <c r="EO94" s="92"/>
      <c r="EP94" s="92"/>
      <c r="EQ94" s="92"/>
      <c r="ER94" s="92"/>
      <c r="ES94" s="92"/>
      <c r="ET94" s="92"/>
      <c r="EU94" s="92"/>
      <c r="EV94" s="92"/>
      <c r="EW94" s="92"/>
      <c r="EX94" s="92"/>
      <c r="EY94" s="92"/>
      <c r="EZ94" s="92"/>
      <c r="FA94" s="92"/>
      <c r="FB94" s="92"/>
      <c r="FC94" s="92"/>
      <c r="FD94" s="92"/>
      <c r="FE94" s="92"/>
      <c r="FF94" s="92"/>
      <c r="FG94" s="92"/>
      <c r="FH94" s="92"/>
      <c r="FI94" s="92"/>
      <c r="FJ94" s="92"/>
      <c r="FK94" s="92"/>
      <c r="FL94" s="92"/>
      <c r="FM94" s="92"/>
      <c r="FN94" s="92"/>
      <c r="FO94" s="92"/>
      <c r="FP94" s="92"/>
      <c r="FQ94" s="92"/>
      <c r="FR94" s="92"/>
      <c r="FS94" s="92"/>
      <c r="FT94" s="92"/>
      <c r="FU94" s="92"/>
      <c r="FV94" s="92"/>
      <c r="FW94" s="92"/>
      <c r="FX94" s="92"/>
      <c r="FY94" s="92"/>
      <c r="FZ94" s="92"/>
      <c r="GA94" s="92"/>
      <c r="GB94" s="92"/>
      <c r="GC94" s="92"/>
      <c r="GD94" s="92"/>
      <c r="GE94" s="92"/>
      <c r="GF94" s="92"/>
      <c r="GG94" s="92"/>
      <c r="GH94" s="92"/>
      <c r="GI94" s="92"/>
      <c r="GJ94" s="92"/>
      <c r="GK94" s="92"/>
      <c r="GL94" s="92"/>
      <c r="GM94" s="92"/>
      <c r="GN94" s="92"/>
      <c r="GO94" s="92"/>
      <c r="GP94" s="92"/>
      <c r="GQ94" s="92"/>
      <c r="GR94" s="92"/>
      <c r="GS94" s="92"/>
      <c r="GT94" s="92"/>
      <c r="GU94" s="92"/>
      <c r="GV94" s="92"/>
      <c r="GW94" s="92"/>
      <c r="GX94" s="92"/>
      <c r="GY94" s="92"/>
      <c r="GZ94" s="92"/>
      <c r="HA94" s="92"/>
      <c r="HB94" s="92"/>
      <c r="HC94" s="92"/>
      <c r="HD94" s="92"/>
      <c r="HE94" s="92"/>
      <c r="HF94" s="92"/>
      <c r="HG94" s="92"/>
      <c r="HH94" s="92"/>
      <c r="HI94" s="92"/>
      <c r="HJ94" s="92"/>
      <c r="HK94" s="92"/>
    </row>
    <row r="95" customHeight="1" spans="1:219">
      <c r="A95" s="205"/>
      <c r="B95" s="158" t="s">
        <v>310</v>
      </c>
      <c r="C95" s="206"/>
      <c r="D95" s="207"/>
      <c r="E95" s="197" t="str">
        <f>IF(AND(E10="气体",E110="N",E76="非阻塞流"),E90,IF(AND(E10="气体",E110="Y",E77="非阻塞流"),E91,IF(AND(E10="气体",E110="N",E78="阻塞流"),E92,IF(AND(E10="气体",E110="Y",E79="阻塞流"),E93,IF(AND(E10="气体",E80="非紊流"),E94,"")))))</f>
        <v/>
      </c>
      <c r="F95" s="62" t="e">
        <f t="shared" si="1"/>
        <v>#VALUE!</v>
      </c>
    </row>
    <row r="96" customHeight="1" spans="1:219">
      <c r="A96" s="200" t="s">
        <v>311</v>
      </c>
      <c r="B96" s="201"/>
      <c r="C96" s="201"/>
      <c r="D96" s="202"/>
      <c r="E96" s="203"/>
    </row>
    <row r="97" ht="56.1" customHeight="1" spans="1:8">
      <c r="A97" s="152" t="s">
        <v>312</v>
      </c>
      <c r="B97" s="101" t="s">
        <v>295</v>
      </c>
      <c r="C97" s="81"/>
      <c r="D97" s="153"/>
      <c r="E97" s="172">
        <f>IF(OR(E10="蒸汽"),E181/(E160*E154*SQRT(E149*E17*E188)),"")</f>
        <v>13.6614784144672</v>
      </c>
      <c r="F97" s="62">
        <f t="shared" ref="F97:F102" si="2">E97*1.158</f>
        <v>15.819992003953</v>
      </c>
    </row>
    <row r="98" ht="54" customHeight="1" spans="1:8">
      <c r="A98" s="152" t="s">
        <v>313</v>
      </c>
      <c r="B98" s="101" t="s">
        <v>297</v>
      </c>
      <c r="C98" s="81"/>
      <c r="D98" s="153"/>
      <c r="E98" s="172">
        <f>IF(OR(E10="蒸汽"),E181/(E160*E82*E154*SQRT(E149*E17*E188)),"")</f>
        <v>13.6614784144672</v>
      </c>
      <c r="F98" s="62">
        <f t="shared" si="2"/>
        <v>15.819992003953</v>
      </c>
    </row>
    <row r="99" ht="59.1" customHeight="1" spans="1:8">
      <c r="A99" s="152" t="s">
        <v>314</v>
      </c>
      <c r="B99" s="101" t="s">
        <v>299</v>
      </c>
      <c r="C99" s="81"/>
      <c r="D99" s="153"/>
      <c r="E99" s="172">
        <f>IF(OR(E10="蒸汽"),E181/(0.667*E160*SQRT(E146*E150*E17*E188)),"")</f>
        <v>23.0264142947697</v>
      </c>
      <c r="F99" s="62">
        <f>E99*1.156</f>
        <v>26.6185349247538</v>
      </c>
    </row>
    <row r="100" ht="60.95" customHeight="1" spans="1:8">
      <c r="A100" s="152" t="s">
        <v>315</v>
      </c>
      <c r="B100" s="101" t="s">
        <v>301</v>
      </c>
      <c r="C100" s="81"/>
      <c r="D100" s="153"/>
      <c r="E100" s="172">
        <f>IF(OR(E10="蒸汽"),E181/(0.667*E82*E160*SQRT(E146*E151*E17*E188)),"")</f>
        <v>23.0264142947697</v>
      </c>
      <c r="F100" s="62">
        <f t="shared" si="2"/>
        <v>26.6645877533433</v>
      </c>
      <c r="H100" s="63" t="s">
        <v>316</v>
      </c>
    </row>
    <row r="101" ht="63.95" customHeight="1" spans="1:8">
      <c r="A101" s="152" t="s">
        <v>317</v>
      </c>
      <c r="B101" s="101" t="s">
        <v>278</v>
      </c>
      <c r="C101" s="81"/>
      <c r="D101" s="153"/>
      <c r="E101" s="172">
        <f>IF(OR(E10="蒸汽"),E181/(E170*E137)*SQRT(E34/(E19*(E17+E18)*18.0152)),"")</f>
        <v>17.404573168007</v>
      </c>
      <c r="F101" s="62">
        <f t="shared" si="2"/>
        <v>20.1544957285521</v>
      </c>
    </row>
    <row r="102" customHeight="1" spans="1:8">
      <c r="A102" s="205"/>
      <c r="B102" s="158" t="s">
        <v>318</v>
      </c>
      <c r="C102" s="206"/>
      <c r="D102" s="207"/>
      <c r="E102" s="197">
        <f>IF(AND(E10="蒸汽",E110="N",E76="非阻塞流"),E97,IF(AND(E10="蒸汽",E110="Y",E77="非阻塞流"),E98,IF(AND(E10="蒸汽",E110="N",E78="阻塞流"),E99,IF(AND(E10="蒸汽",E110="Y",E79="阻塞流"),E100,IF(AND(E10="蒸汽",E80="非紊流"),E101,"")))))</f>
        <v>13.6614784144672</v>
      </c>
      <c r="F102" s="62">
        <f t="shared" si="2"/>
        <v>15.819992003953</v>
      </c>
    </row>
    <row r="103" customHeight="1" spans="1:8">
      <c r="A103" s="200" t="s">
        <v>319</v>
      </c>
      <c r="B103" s="201"/>
      <c r="C103" s="201"/>
      <c r="D103" s="202"/>
      <c r="E103" s="203"/>
    </row>
    <row r="104" ht="54.95" customHeight="1" spans="1:8">
      <c r="A104" s="152" t="s">
        <v>320</v>
      </c>
      <c r="B104" s="101" t="s">
        <v>321</v>
      </c>
      <c r="C104" s="81"/>
      <c r="D104" s="153"/>
      <c r="E104" s="172" t="str">
        <f>IF(OR(E10="两相流(液体+气体)"),(E178+E183)/(3.16*SQRT(E19*E105)),"")</f>
        <v/>
      </c>
      <c r="F104" s="62" t="e">
        <f>E104*1.158</f>
        <v>#VALUE!</v>
      </c>
    </row>
    <row r="105" ht="69" customHeight="1" spans="1:8">
      <c r="A105" s="152" t="s">
        <v>322</v>
      </c>
      <c r="B105" s="101" t="s">
        <v>323</v>
      </c>
      <c r="C105" s="81" t="s">
        <v>23</v>
      </c>
      <c r="D105" s="153"/>
      <c r="E105" s="172" t="str">
        <f>IF(OR(E10="两相流(液体+气体)"),(E178+E183)/(E178/E186/1000+E183/E189/E152^2),"")</f>
        <v/>
      </c>
    </row>
    <row r="106" ht="71.1" customHeight="1" spans="1:8">
      <c r="A106" s="152" t="s">
        <v>324</v>
      </c>
      <c r="B106" s="101" t="s">
        <v>325</v>
      </c>
      <c r="C106" s="81"/>
      <c r="D106" s="153"/>
      <c r="E106" s="172" t="str">
        <f>IF(OR(E10="两相流(液体+蒸汽)"),(E178+E181)/(3.16*E81*SQRT(E17*E107*(1-E84))),"")</f>
        <v/>
      </c>
      <c r="F106" s="62" t="e">
        <f>E106*1.156</f>
        <v>#VALUE!</v>
      </c>
    </row>
    <row r="107" ht="69.95" customHeight="1" spans="1:8">
      <c r="A107" s="152" t="s">
        <v>326</v>
      </c>
      <c r="B107" s="101" t="s">
        <v>323</v>
      </c>
      <c r="C107" s="81" t="s">
        <v>23</v>
      </c>
      <c r="D107" s="153"/>
      <c r="E107" s="172" t="str">
        <f>IF(OR(E10="两相流(液体+蒸汽)"),(E178+E181)/(E178/E186/1000+E181/E188),"")</f>
        <v/>
      </c>
    </row>
    <row r="108" customHeight="1" spans="1:8">
      <c r="A108" s="205"/>
      <c r="B108" s="158" t="s">
        <v>327</v>
      </c>
      <c r="C108" s="206"/>
      <c r="D108" s="207"/>
      <c r="E108" s="197" t="str">
        <f>IF(E10="两相流(液体+气体)",E104,IF(E10="两相流(液体+蒸汽)",E106,""))</f>
        <v/>
      </c>
    </row>
    <row r="109" customHeight="1" spans="1:8">
      <c r="A109" s="148" t="s">
        <v>82</v>
      </c>
      <c r="B109" s="149"/>
      <c r="C109" s="149"/>
      <c r="D109" s="150"/>
      <c r="E109" s="208"/>
    </row>
    <row r="110" customHeight="1" spans="1:8">
      <c r="A110" s="101"/>
      <c r="B110" s="101" t="s">
        <v>328</v>
      </c>
      <c r="C110" s="101"/>
      <c r="D110" s="81"/>
      <c r="E110" s="108" t="str">
        <f>IF(AND(E3=E119,E3=E120),"N","Y")</f>
        <v>N</v>
      </c>
    </row>
    <row r="111" customHeight="1" spans="1:8">
      <c r="A111" s="152" t="s">
        <v>83</v>
      </c>
      <c r="B111" s="101" t="s">
        <v>84</v>
      </c>
      <c r="C111" s="81" t="s">
        <v>85</v>
      </c>
      <c r="D111" s="153" t="s">
        <v>9</v>
      </c>
      <c r="E111" s="172">
        <f>E39</f>
        <v>50</v>
      </c>
    </row>
    <row r="112" customHeight="1" spans="1:8">
      <c r="A112" s="152" t="s">
        <v>329</v>
      </c>
      <c r="B112" s="101" t="s">
        <v>330</v>
      </c>
      <c r="C112" s="81" t="s">
        <v>85</v>
      </c>
      <c r="D112" s="153" t="s">
        <v>9</v>
      </c>
      <c r="E112" s="172">
        <f>E44</f>
        <v>50</v>
      </c>
    </row>
    <row r="113" customHeight="1" spans="1:6">
      <c r="A113" s="152" t="s">
        <v>86</v>
      </c>
      <c r="B113" s="101" t="s">
        <v>87</v>
      </c>
      <c r="C113" s="81" t="s">
        <v>85</v>
      </c>
      <c r="D113" s="153"/>
      <c r="E113" s="172">
        <f>E119</f>
        <v>50</v>
      </c>
    </row>
    <row r="114" customHeight="1" spans="1:6">
      <c r="A114" s="167" t="s">
        <v>88</v>
      </c>
      <c r="B114" s="101" t="s">
        <v>89</v>
      </c>
      <c r="C114" s="81"/>
      <c r="D114" s="153" t="s">
        <v>9</v>
      </c>
      <c r="E114" s="172">
        <f>IF(E43="等百分比",E45)</f>
        <v>50</v>
      </c>
    </row>
    <row r="115" customHeight="1" spans="1:6">
      <c r="A115" s="169"/>
      <c r="B115" s="101" t="s">
        <v>90</v>
      </c>
      <c r="C115" s="81"/>
      <c r="D115" s="153" t="s">
        <v>9</v>
      </c>
      <c r="E115" s="172" t="b">
        <f>IF(OR(E43="快开",E43="线性"),E45)</f>
        <v>0</v>
      </c>
    </row>
    <row r="116" customHeight="1" spans="1:6">
      <c r="A116" s="152" t="s">
        <v>91</v>
      </c>
      <c r="B116" s="101" t="s">
        <v>92</v>
      </c>
      <c r="C116" s="81"/>
      <c r="D116" s="153" t="s">
        <v>9</v>
      </c>
      <c r="E116" s="172">
        <f>E46</f>
        <v>40</v>
      </c>
    </row>
    <row r="117" customHeight="1" spans="1:6">
      <c r="A117" s="167" t="s">
        <v>245</v>
      </c>
      <c r="B117" s="193" t="s">
        <v>331</v>
      </c>
      <c r="C117" s="81" t="s">
        <v>85</v>
      </c>
      <c r="D117" s="153" t="s">
        <v>332</v>
      </c>
      <c r="E117" s="172">
        <f>E3</f>
        <v>50</v>
      </c>
    </row>
    <row r="118" customHeight="1" spans="1:6">
      <c r="A118" s="169"/>
      <c r="B118" s="209"/>
      <c r="C118" s="81" t="s">
        <v>85</v>
      </c>
      <c r="D118" s="153" t="s">
        <v>333</v>
      </c>
      <c r="E118" s="172">
        <f>E6</f>
        <v>50</v>
      </c>
    </row>
    <row r="119" customHeight="1" spans="1:6">
      <c r="A119" s="152" t="s">
        <v>93</v>
      </c>
      <c r="B119" s="101" t="s">
        <v>94</v>
      </c>
      <c r="C119" s="81" t="s">
        <v>85</v>
      </c>
      <c r="D119" s="153" t="s">
        <v>95</v>
      </c>
      <c r="E119" s="172">
        <f>E121-E123*2</f>
        <v>50</v>
      </c>
    </row>
    <row r="120" customHeight="1" spans="1:6">
      <c r="A120" s="152" t="s">
        <v>96</v>
      </c>
      <c r="B120" s="101" t="s">
        <v>97</v>
      </c>
      <c r="C120" s="81" t="s">
        <v>85</v>
      </c>
      <c r="D120" s="153" t="s">
        <v>98</v>
      </c>
      <c r="E120" s="172">
        <f>E122-E124*2</f>
        <v>50</v>
      </c>
    </row>
    <row r="121" customHeight="1" spans="1:6">
      <c r="A121" s="210" t="s">
        <v>99</v>
      </c>
      <c r="B121" s="101" t="s">
        <v>100</v>
      </c>
      <c r="C121" s="81" t="s">
        <v>85</v>
      </c>
      <c r="D121" s="153" t="s">
        <v>9</v>
      </c>
      <c r="E121" s="172">
        <f>E4</f>
        <v>57</v>
      </c>
    </row>
    <row r="122" customHeight="1" spans="1:6">
      <c r="A122" s="152" t="s">
        <v>101</v>
      </c>
      <c r="B122" s="101" t="s">
        <v>102</v>
      </c>
      <c r="C122" s="81" t="s">
        <v>85</v>
      </c>
      <c r="D122" s="153" t="s">
        <v>9</v>
      </c>
      <c r="E122" s="172">
        <f>E7</f>
        <v>57</v>
      </c>
    </row>
    <row r="123" customHeight="1" spans="1:6">
      <c r="A123" s="152" t="s">
        <v>103</v>
      </c>
      <c r="B123" s="101" t="s">
        <v>104</v>
      </c>
      <c r="C123" s="81" t="s">
        <v>85</v>
      </c>
      <c r="D123" s="153" t="s">
        <v>9</v>
      </c>
      <c r="E123" s="172">
        <f>E5</f>
        <v>3.5</v>
      </c>
    </row>
    <row r="124" customHeight="1" spans="1:6">
      <c r="A124" s="152" t="s">
        <v>105</v>
      </c>
      <c r="B124" s="101" t="s">
        <v>104</v>
      </c>
      <c r="C124" s="81" t="s">
        <v>85</v>
      </c>
      <c r="D124" s="153" t="s">
        <v>9</v>
      </c>
      <c r="E124" s="172">
        <f>E8</f>
        <v>3.5</v>
      </c>
    </row>
    <row r="125" customHeight="1" spans="1:6">
      <c r="A125" s="152" t="s">
        <v>106</v>
      </c>
      <c r="B125" s="101" t="s">
        <v>107</v>
      </c>
      <c r="C125" s="81" t="s">
        <v>85</v>
      </c>
      <c r="D125" s="153" t="s">
        <v>9</v>
      </c>
      <c r="E125" s="172">
        <f>E112</f>
        <v>50</v>
      </c>
    </row>
    <row r="126" ht="63" customHeight="1" spans="1:6">
      <c r="A126" s="152" t="s">
        <v>108</v>
      </c>
      <c r="B126" s="101" t="s">
        <v>109</v>
      </c>
      <c r="C126" s="81"/>
      <c r="D126" s="153"/>
      <c r="E126" s="172">
        <f>E127</f>
        <v>0.35621608595407</v>
      </c>
      <c r="F126" s="97" t="s">
        <v>334</v>
      </c>
    </row>
    <row r="127" ht="51.95" customHeight="1" spans="1:6">
      <c r="A127" s="152" t="s">
        <v>108</v>
      </c>
      <c r="B127" s="101"/>
      <c r="C127" s="81"/>
      <c r="D127" s="81"/>
      <c r="E127" s="172">
        <f>E128/E129</f>
        <v>0.35621608595407</v>
      </c>
      <c r="F127" s="97"/>
    </row>
    <row r="128" ht="57" customHeight="1" spans="1:6">
      <c r="A128" s="211" t="s">
        <v>115</v>
      </c>
      <c r="B128" s="101" t="s">
        <v>116</v>
      </c>
      <c r="C128" s="81"/>
      <c r="D128" s="81"/>
      <c r="E128" s="172">
        <f>4*E130/E131</f>
        <v>6.34449499462188</v>
      </c>
    </row>
    <row r="129" ht="56.1" customHeight="1" spans="1:5">
      <c r="A129" s="152" t="s">
        <v>117</v>
      </c>
      <c r="B129" s="101" t="s">
        <v>118</v>
      </c>
      <c r="C129" s="81" t="s">
        <v>85</v>
      </c>
      <c r="D129" s="81"/>
      <c r="E129" s="172">
        <f>SQRT(4*E130/3.14)</f>
        <v>17.8108042977035</v>
      </c>
    </row>
    <row r="130" ht="47.1" customHeight="1" spans="1:5">
      <c r="A130" s="152" t="s">
        <v>119</v>
      </c>
      <c r="B130" s="101" t="s">
        <v>120</v>
      </c>
      <c r="C130" s="81" t="s">
        <v>335</v>
      </c>
      <c r="D130" s="153"/>
      <c r="E130" s="172">
        <f>E173*E62*E81</f>
        <v>249.021428538909</v>
      </c>
    </row>
    <row r="131" ht="47.1" customHeight="1" spans="1:5">
      <c r="A131" s="212" t="s">
        <v>121</v>
      </c>
      <c r="B131" s="128" t="s">
        <v>122</v>
      </c>
      <c r="C131" s="81" t="s">
        <v>85</v>
      </c>
      <c r="D131" s="153"/>
      <c r="E131" s="172">
        <f>3.14*E125</f>
        <v>157</v>
      </c>
    </row>
    <row r="132" customHeight="1" spans="1:5">
      <c r="A132" s="152" t="s">
        <v>123</v>
      </c>
      <c r="B132" s="109" t="s">
        <v>124</v>
      </c>
      <c r="C132" s="81"/>
      <c r="D132" s="153"/>
      <c r="E132" s="172">
        <f>E133+E134+E135-E136</f>
        <v>0</v>
      </c>
    </row>
    <row r="133" ht="77.1" customHeight="1" spans="1:5">
      <c r="A133" s="152" t="s">
        <v>125</v>
      </c>
      <c r="B133" s="101" t="s">
        <v>126</v>
      </c>
      <c r="C133" s="81"/>
      <c r="D133" s="153"/>
      <c r="E133" s="172">
        <f>0.5*(1-(E111/E119)^2)^2</f>
        <v>0</v>
      </c>
    </row>
    <row r="134" ht="72" customHeight="1" spans="1:5">
      <c r="A134" s="152" t="s">
        <v>127</v>
      </c>
      <c r="B134" s="101" t="s">
        <v>128</v>
      </c>
      <c r="C134" s="81"/>
      <c r="D134" s="153"/>
      <c r="E134" s="172">
        <f>1*(1-(E111/E120)^2)^2</f>
        <v>0</v>
      </c>
    </row>
    <row r="135" ht="60" customHeight="1" spans="1:5">
      <c r="A135" s="152" t="s">
        <v>129</v>
      </c>
      <c r="B135" s="101" t="s">
        <v>130</v>
      </c>
      <c r="C135" s="81"/>
      <c r="D135" s="153"/>
      <c r="E135" s="172">
        <f>1-(E111/E119)^4</f>
        <v>0</v>
      </c>
    </row>
    <row r="136" ht="63" customHeight="1" spans="1:5">
      <c r="A136" s="152" t="s">
        <v>131</v>
      </c>
      <c r="B136" s="101" t="s">
        <v>132</v>
      </c>
      <c r="C136" s="81"/>
      <c r="D136" s="153"/>
      <c r="E136" s="172">
        <f>1-(E111/E120)^4</f>
        <v>0</v>
      </c>
    </row>
    <row r="137" customHeight="1" spans="1:5">
      <c r="A137" s="167" t="s">
        <v>133</v>
      </c>
      <c r="B137" s="168" t="s">
        <v>336</v>
      </c>
      <c r="C137" s="193"/>
      <c r="D137" s="153" t="s">
        <v>337</v>
      </c>
      <c r="E137" s="172">
        <f>IF(E138&lt;1,E138,1)</f>
        <v>0.922630601998289</v>
      </c>
    </row>
    <row r="138" ht="54" customHeight="1" spans="1:5">
      <c r="A138" s="169"/>
      <c r="B138" s="170"/>
      <c r="C138" s="209"/>
      <c r="D138" s="81"/>
      <c r="E138" s="172">
        <f>IF(AND(E111=E125,E139&gt;=10),MIN(E140:E141),IF(E139&lt;10,E141,IF(AND(E125&lt;E111,E139&gt;=10),MIN(E144:E145),IF(E139&lt;10,E145))))</f>
        <v>0.922630601998289</v>
      </c>
    </row>
    <row r="139" ht="54" customHeight="1" spans="1:5">
      <c r="A139" s="152" t="s">
        <v>338</v>
      </c>
      <c r="B139" s="101" t="s">
        <v>136</v>
      </c>
      <c r="C139" s="81"/>
      <c r="D139" s="81"/>
      <c r="E139" s="172">
        <f>IF(E10="液体",E158*E126*E177/E192/SQRT(E63*E81)*(E81^2*E63^2/(E157*E113^4)+1)^0.25,IF(E10="气体",E158*E126*E179/E192/SQRT(E63*E81)*(E81^2*E63^2/(E157*E113^4)+1)^0.25,IF(E10="蒸汽",E158*E126*E182/E192/SQRT(E63*E81)*(E81^2*E63^2/(E157*E113^4)+1)^0.25,IF(E10="两相流(液体+气体)",E158*E126*(E177+E183)/E192/SQRT(E63*E81)*(E81^2*E63^2/(E157*E113^4)+1)^0.25,IF(E10="两相流(液体+蒸汽)",E158*E126*(E177+E181)/E192/SQRT(E63*E81)*(E81^2*E63^2/(E157*E113^4)+1)^0.25,)))))</f>
        <v>2199.09400942384</v>
      </c>
    </row>
    <row r="140" ht="51.95" customHeight="1" spans="1:5">
      <c r="A140" s="152" t="s">
        <v>137</v>
      </c>
      <c r="B140" s="101" t="s">
        <v>138</v>
      </c>
      <c r="C140" s="81"/>
      <c r="D140" s="153"/>
      <c r="E140" s="172">
        <f>1+(0.33*E81^0.5/E142^0.25)*LOG10(E139/10000)</f>
        <v>0.922630601998289</v>
      </c>
    </row>
    <row r="141" ht="50.1" customHeight="1" spans="1:5">
      <c r="A141" s="152" t="s">
        <v>139</v>
      </c>
      <c r="B141" s="101" t="s">
        <v>140</v>
      </c>
      <c r="C141" s="81"/>
      <c r="D141" s="153"/>
      <c r="E141" s="172">
        <f>0.026/E81*SQRT(E142*E139)</f>
        <v>9.59653821107224</v>
      </c>
    </row>
    <row r="142" ht="62.1" customHeight="1" spans="1:5">
      <c r="A142" s="152" t="s">
        <v>141</v>
      </c>
      <c r="B142" s="101"/>
      <c r="C142" s="81"/>
      <c r="D142" s="81"/>
      <c r="E142" s="172">
        <f>E157/(E63/E111^2)^2</f>
        <v>53.5802332</v>
      </c>
    </row>
    <row r="143" ht="47.1" customHeight="1" spans="1:5">
      <c r="A143" s="152" t="s">
        <v>142</v>
      </c>
      <c r="B143" s="101"/>
      <c r="C143" s="81"/>
      <c r="D143" s="153"/>
      <c r="E143" s="172">
        <f>1+E172*(E63/E111^2)^(2/3)</f>
        <v>5.34343336754464</v>
      </c>
    </row>
    <row r="144" ht="50.1" customHeight="1" spans="1:5">
      <c r="A144" s="152" t="s">
        <v>143</v>
      </c>
      <c r="B144" s="101" t="s">
        <v>138</v>
      </c>
      <c r="C144" s="81"/>
      <c r="D144" s="153"/>
      <c r="E144" s="172">
        <f>1+(0.33*E81^0.5/E143^0.25)*LOG10(E139/10000)</f>
        <v>0.862321771902236</v>
      </c>
    </row>
    <row r="145" ht="45.95" customHeight="1" spans="1:5">
      <c r="A145" s="152" t="s">
        <v>144</v>
      </c>
      <c r="B145" s="101" t="s">
        <v>140</v>
      </c>
      <c r="C145" s="81"/>
      <c r="D145" s="153"/>
      <c r="E145" s="172">
        <f>0.026/E81*SQRT(E143*E139)</f>
        <v>3.03055727494526</v>
      </c>
    </row>
    <row r="146" customHeight="1" spans="1:5">
      <c r="A146" s="152" t="s">
        <v>145</v>
      </c>
      <c r="B146" s="101" t="s">
        <v>146</v>
      </c>
      <c r="C146" s="81"/>
      <c r="D146" s="153"/>
      <c r="E146" s="172">
        <f>E154/1.4</f>
        <v>0.928571428571429</v>
      </c>
    </row>
    <row r="147" customHeight="1" spans="1:5">
      <c r="A147" s="152" t="s">
        <v>147</v>
      </c>
      <c r="B147" s="101" t="s">
        <v>148</v>
      </c>
      <c r="C147" s="81" t="s">
        <v>149</v>
      </c>
      <c r="D147" s="153"/>
      <c r="E147" s="172">
        <f>E25</f>
        <v>0</v>
      </c>
    </row>
    <row r="148" customHeight="1" spans="1:5">
      <c r="A148" s="152" t="s">
        <v>150</v>
      </c>
      <c r="B148" s="101" t="s">
        <v>151</v>
      </c>
      <c r="C148" s="81"/>
      <c r="D148" s="153"/>
      <c r="E148" s="172" t="e">
        <f>E34/#REF!</f>
        <v>#REF!</v>
      </c>
    </row>
    <row r="149" customHeight="1" spans="1:5">
      <c r="A149" s="152" t="s">
        <v>157</v>
      </c>
      <c r="B149" s="101" t="s">
        <v>158</v>
      </c>
      <c r="C149" s="81"/>
      <c r="D149" s="153" t="s">
        <v>339</v>
      </c>
      <c r="E149" s="172">
        <f>E19/E17</f>
        <v>0.5</v>
      </c>
    </row>
    <row r="150" customHeight="1" spans="1:5">
      <c r="A150" s="152" t="s">
        <v>159</v>
      </c>
      <c r="B150" s="101" t="s">
        <v>160</v>
      </c>
      <c r="C150" s="81"/>
      <c r="D150" s="81" t="s">
        <v>161</v>
      </c>
      <c r="E150" s="172">
        <f>E42</f>
        <v>0.72</v>
      </c>
    </row>
    <row r="151" ht="99" customHeight="1" spans="1:5">
      <c r="A151" s="152" t="s">
        <v>162</v>
      </c>
      <c r="B151" s="101" t="s">
        <v>163</v>
      </c>
      <c r="C151" s="81"/>
      <c r="D151" s="81"/>
      <c r="E151" s="172">
        <f>E150/E82^2/(1+E150*(E133+E135)/E159*(E63/E111^2)^2)</f>
        <v>0.72</v>
      </c>
    </row>
    <row r="152" ht="51.95" customHeight="1" spans="1:5">
      <c r="A152" s="152" t="s">
        <v>164</v>
      </c>
      <c r="B152" s="101" t="s">
        <v>165</v>
      </c>
      <c r="C152" s="81"/>
      <c r="D152" s="153"/>
      <c r="E152" s="172">
        <f>1-E149/3/E146/E150</f>
        <v>0.750712250712251</v>
      </c>
    </row>
    <row r="153" customHeight="1" spans="1:5">
      <c r="A153" s="152" t="s">
        <v>166</v>
      </c>
      <c r="B153" s="101" t="s">
        <v>167</v>
      </c>
      <c r="C153" s="81"/>
      <c r="D153" s="153" t="s">
        <v>9</v>
      </c>
      <c r="E153" s="172">
        <f>E26</f>
        <v>1</v>
      </c>
    </row>
    <row r="154" customHeight="1" spans="1:5">
      <c r="A154" s="152" t="s">
        <v>168</v>
      </c>
      <c r="B154" s="101" t="s">
        <v>169</v>
      </c>
      <c r="C154" s="81"/>
      <c r="D154" s="153" t="s">
        <v>9</v>
      </c>
      <c r="E154" s="172">
        <f>E27</f>
        <v>1.3</v>
      </c>
    </row>
    <row r="155" customHeight="1" spans="1:5">
      <c r="A155" s="152" t="s">
        <v>170</v>
      </c>
      <c r="B155" s="101"/>
      <c r="C155" s="81"/>
      <c r="D155" s="153" t="s">
        <v>170</v>
      </c>
      <c r="E155" s="172">
        <f>E63/E111^2</f>
        <v>0.00546459136578689</v>
      </c>
    </row>
    <row r="156" customHeight="1" spans="1:5">
      <c r="A156" s="152" t="s">
        <v>176</v>
      </c>
      <c r="B156" s="129" t="s">
        <v>340</v>
      </c>
      <c r="C156" s="81"/>
      <c r="D156" s="153" t="s">
        <v>9</v>
      </c>
      <c r="E156" s="204">
        <v>0.1</v>
      </c>
    </row>
    <row r="157" customHeight="1" spans="1:5">
      <c r="A157" s="152" t="s">
        <v>178</v>
      </c>
      <c r="B157" s="81"/>
      <c r="C157" s="81"/>
      <c r="D157" s="153" t="s">
        <v>9</v>
      </c>
      <c r="E157" s="204">
        <v>0.0016</v>
      </c>
    </row>
    <row r="158" customHeight="1" spans="1:5">
      <c r="A158" s="152" t="s">
        <v>179</v>
      </c>
      <c r="B158" s="81"/>
      <c r="C158" s="81"/>
      <c r="D158" s="153" t="s">
        <v>9</v>
      </c>
      <c r="E158" s="204">
        <v>0.0707</v>
      </c>
    </row>
    <row r="159" customHeight="1" spans="1:5">
      <c r="A159" s="152" t="s">
        <v>180</v>
      </c>
      <c r="B159" s="81"/>
      <c r="C159" s="81"/>
      <c r="D159" s="153" t="s">
        <v>9</v>
      </c>
      <c r="E159" s="204">
        <v>0.0018</v>
      </c>
    </row>
    <row r="160" customHeight="1" spans="1:5">
      <c r="A160" s="152" t="s">
        <v>181</v>
      </c>
      <c r="B160" s="81"/>
      <c r="C160" s="81"/>
      <c r="D160" s="153" t="s">
        <v>9</v>
      </c>
      <c r="E160" s="204">
        <v>3.16</v>
      </c>
    </row>
    <row r="161" customHeight="1" spans="1:5">
      <c r="A161" s="152" t="s">
        <v>182</v>
      </c>
      <c r="B161" s="81"/>
      <c r="C161" s="81"/>
      <c r="D161" s="153" t="s">
        <v>9</v>
      </c>
      <c r="E161" s="204">
        <v>1.1</v>
      </c>
    </row>
    <row r="162" customHeight="1" spans="1:5">
      <c r="A162" s="152"/>
      <c r="B162" s="81"/>
      <c r="C162" s="81"/>
      <c r="D162" s="153" t="s">
        <v>9</v>
      </c>
      <c r="E162" s="204">
        <v>110</v>
      </c>
    </row>
    <row r="163" customHeight="1" spans="1:5">
      <c r="A163" s="152" t="s">
        <v>183</v>
      </c>
      <c r="B163" s="81"/>
      <c r="C163" s="81"/>
      <c r="D163" s="153" t="s">
        <v>9</v>
      </c>
      <c r="E163" s="204">
        <v>24.6</v>
      </c>
    </row>
    <row r="164" customHeight="1" spans="1:5">
      <c r="A164" s="152" t="s">
        <v>184</v>
      </c>
      <c r="B164" s="81"/>
      <c r="C164" s="81"/>
      <c r="D164" s="153" t="s">
        <v>9</v>
      </c>
      <c r="E164" s="204">
        <v>26</v>
      </c>
    </row>
    <row r="165" customHeight="1" spans="1:5">
      <c r="A165" s="152" t="s">
        <v>185</v>
      </c>
      <c r="B165" s="81"/>
      <c r="C165" s="81"/>
      <c r="D165" s="153" t="s">
        <v>9</v>
      </c>
      <c r="E165" s="204">
        <v>0.00105</v>
      </c>
    </row>
    <row r="166" customHeight="1" spans="1:5">
      <c r="A166" s="152" t="s">
        <v>186</v>
      </c>
      <c r="B166" s="81"/>
      <c r="C166" s="81"/>
      <c r="D166" s="153" t="s">
        <v>9</v>
      </c>
      <c r="E166" s="204">
        <v>0.865</v>
      </c>
    </row>
    <row r="167" customHeight="1" spans="1:5">
      <c r="A167" s="152" t="s">
        <v>187</v>
      </c>
      <c r="B167" s="81"/>
      <c r="C167" s="81"/>
      <c r="D167" s="153" t="s">
        <v>9</v>
      </c>
      <c r="E167" s="204">
        <v>2.5</v>
      </c>
    </row>
    <row r="168" customHeight="1" spans="1:5">
      <c r="A168" s="152" t="s">
        <v>188</v>
      </c>
      <c r="B168" s="81"/>
      <c r="C168" s="81"/>
      <c r="D168" s="153" t="s">
        <v>9</v>
      </c>
      <c r="E168" s="204">
        <v>17.3</v>
      </c>
    </row>
    <row r="169" customHeight="1" spans="1:5">
      <c r="A169" s="152" t="s">
        <v>189</v>
      </c>
      <c r="B169" s="81"/>
      <c r="C169" s="81"/>
      <c r="D169" s="153" t="s">
        <v>9</v>
      </c>
      <c r="E169" s="204">
        <v>18.4</v>
      </c>
    </row>
    <row r="170" customHeight="1" spans="1:5">
      <c r="A170" s="152" t="s">
        <v>190</v>
      </c>
      <c r="B170" s="81"/>
      <c r="C170" s="81"/>
      <c r="D170" s="153" t="s">
        <v>9</v>
      </c>
      <c r="E170" s="204">
        <v>0.775</v>
      </c>
    </row>
    <row r="171" customHeight="1" spans="1:5">
      <c r="A171" s="152"/>
      <c r="B171" s="81"/>
      <c r="C171" s="81"/>
      <c r="D171" s="153" t="s">
        <v>9</v>
      </c>
      <c r="E171" s="204">
        <v>77.5</v>
      </c>
    </row>
    <row r="172" customHeight="1" spans="1:5">
      <c r="A172" s="152" t="s">
        <v>191</v>
      </c>
      <c r="B172" s="81"/>
      <c r="C172" s="81"/>
      <c r="D172" s="153" t="s">
        <v>9</v>
      </c>
      <c r="E172" s="204">
        <v>140</v>
      </c>
    </row>
    <row r="173" customHeight="1" spans="1:5">
      <c r="A173" s="212" t="s">
        <v>192</v>
      </c>
      <c r="B173" s="81"/>
      <c r="C173" s="81"/>
      <c r="D173" s="153" t="s">
        <v>9</v>
      </c>
      <c r="E173" s="213">
        <v>19.6</v>
      </c>
    </row>
    <row r="174" customHeight="1" spans="1:5">
      <c r="A174" s="212" t="s">
        <v>193</v>
      </c>
      <c r="B174" s="81"/>
      <c r="C174" s="81"/>
      <c r="D174" s="153" t="s">
        <v>9</v>
      </c>
      <c r="E174" s="213">
        <v>12800000</v>
      </c>
    </row>
    <row r="175" customHeight="1" spans="1:5">
      <c r="A175" s="214" t="s">
        <v>194</v>
      </c>
      <c r="B175" s="159"/>
      <c r="C175" s="159"/>
      <c r="D175" s="160" t="s">
        <v>9</v>
      </c>
      <c r="E175" s="215">
        <v>21000</v>
      </c>
    </row>
    <row r="176" customHeight="1" spans="1:5">
      <c r="A176" s="200" t="s">
        <v>195</v>
      </c>
      <c r="B176" s="201"/>
      <c r="C176" s="201"/>
      <c r="D176" s="202"/>
      <c r="E176" s="203"/>
    </row>
    <row r="177" customHeight="1" spans="1:5">
      <c r="A177" s="186" t="s">
        <v>196</v>
      </c>
      <c r="B177" s="216" t="s">
        <v>341</v>
      </c>
      <c r="C177" s="81" t="s">
        <v>342</v>
      </c>
      <c r="D177" s="81"/>
      <c r="E177" s="172" t="str">
        <f>IF(AND(OR(E10="液体",E10="两相流(液体+气体)",E10="两相流(液体+蒸汽)"),E14="m3/h"),E13,IF(AND(OR(E10="两相流(液体+气体)",E10="两相流(液体+蒸汽)"),E14="Kg/h"),E13/E186,IF(AND(OR(E10="两相流(液体+气体)",E10="两相流(液体+蒸汽)"),E14="t/h"),E13*1000/E186,"")))</f>
        <v/>
      </c>
    </row>
    <row r="178" customHeight="1" spans="1:5">
      <c r="A178" s="188"/>
      <c r="B178" s="217"/>
      <c r="C178" s="81" t="s">
        <v>343</v>
      </c>
      <c r="D178" s="81"/>
      <c r="E178" s="172" t="str">
        <f>IF(OR(E10="液体",E10="两相流(液体+气体)",E10="两相流(液体+蒸汽)"),E177*E186,"")</f>
        <v/>
      </c>
    </row>
    <row r="179" customHeight="1" spans="1:5">
      <c r="A179" s="186" t="s">
        <v>344</v>
      </c>
      <c r="B179" s="216" t="s">
        <v>345</v>
      </c>
      <c r="C179" s="81" t="s">
        <v>346</v>
      </c>
      <c r="D179" s="81"/>
      <c r="E179" s="172" t="str">
        <f>IF(AND(E10="气体",E14="Nm3/h"),E13,IF(AND(E10="气体",E14="Kg/h"),E13/E187,IF(AND(E10="气体",E14="t/h"),E13*1000/E187,IF(AND(E10="气体",E14="m3/h"),E13*E17*273.15/101.325/E34,IF(AND(E10="气体",E14="m3/h"),E13*E17*273.15/101.325/E34,"")))))</f>
        <v/>
      </c>
    </row>
    <row r="180" customHeight="1" spans="1:5">
      <c r="A180" s="188"/>
      <c r="B180" s="218"/>
      <c r="C180" s="81" t="s">
        <v>342</v>
      </c>
      <c r="D180" s="81" t="s">
        <v>347</v>
      </c>
      <c r="E180" s="172" t="str">
        <f>IF(E10="气体",E179*101.325*E34/E17/273.15,"")</f>
        <v/>
      </c>
    </row>
    <row r="181" customHeight="1" spans="1:5">
      <c r="A181" s="155" t="s">
        <v>348</v>
      </c>
      <c r="B181" s="216" t="s">
        <v>349</v>
      </c>
      <c r="C181" s="81" t="s">
        <v>343</v>
      </c>
      <c r="D181" s="81"/>
      <c r="E181" s="172">
        <f>IF(AND(E10="蒸汽",E14="Kg/h"),E13,IF(AND(E10="蒸汽",E14="m3/h"),E13*E188,IF(AND(E10="蒸汽",E14="t/h"),E13*1000*E188,IF(AND(E10="两相流(液体+蒸汽)",E16="Kg/h"),E15,IF(AND(E10="两相流(液体+蒸汽)",E16="m3/h"),E15*E188,IF(AND(E10="两相流(液体+蒸汽)",E16="t/h"),E15*1000*E188,""))))))</f>
        <v>2000</v>
      </c>
    </row>
    <row r="182" customHeight="1" spans="1:5">
      <c r="A182" s="155" t="s">
        <v>350</v>
      </c>
      <c r="B182" s="218"/>
      <c r="C182" s="81" t="s">
        <v>342</v>
      </c>
      <c r="D182" s="81" t="s">
        <v>347</v>
      </c>
      <c r="E182" s="172">
        <f>IF(OR(E10="蒸汽",E10="两相流(液体+蒸汽)"),E181/E188,"")</f>
        <v>787.40157480315</v>
      </c>
    </row>
    <row r="183" customHeight="1" spans="1:5">
      <c r="A183" s="155" t="s">
        <v>351</v>
      </c>
      <c r="B183" s="216" t="s">
        <v>352</v>
      </c>
      <c r="C183" s="81" t="s">
        <v>343</v>
      </c>
      <c r="D183" s="81"/>
      <c r="E183" s="172" t="str">
        <f>IF(AND(E10="两相流(液体+气体)",E16="Kg/h"),E15,IF(AND(E10="两相流(液体+气体)",E16="t/h"),E15*1000,IF(AND(E10="两相流(液体+气体)",E16="m3/h"),E15*E189,IF(AND(E10="两相流(液体+气体)",E16="Nm3/h"),E189*E15*101.325*E34/E17/273.15,""))))</f>
        <v/>
      </c>
    </row>
    <row r="184" customHeight="1" spans="1:5">
      <c r="A184" s="157" t="s">
        <v>353</v>
      </c>
      <c r="B184" s="219"/>
      <c r="C184" s="159" t="s">
        <v>342</v>
      </c>
      <c r="D184" s="159" t="s">
        <v>347</v>
      </c>
      <c r="E184" s="197" t="str">
        <f>IF(E10="两相流(液体+气体)",E183/E189,"")</f>
        <v/>
      </c>
    </row>
    <row r="185" customHeight="1" spans="1:5">
      <c r="A185" s="200" t="s">
        <v>354</v>
      </c>
      <c r="B185" s="201"/>
      <c r="C185" s="201"/>
      <c r="D185" s="202"/>
      <c r="E185" s="203"/>
    </row>
    <row r="186" customHeight="1" spans="1:5">
      <c r="A186" s="152" t="s">
        <v>21</v>
      </c>
      <c r="B186" s="101" t="s">
        <v>355</v>
      </c>
      <c r="C186" s="81" t="s">
        <v>356</v>
      </c>
      <c r="D186" s="81"/>
      <c r="E186" s="204" t="str">
        <f>IF(AND(OR(E10="液体",E10="两相流(液体+气体)",E10="两相流(液体+蒸汽)"),E21="Kg/m3"),E20,IF(AND(OR(E10="液体",E10="两相流(液体+气体)",E10="两相流(液体+蒸汽)"),E21="g/cm3"),E20*1000,""))</f>
        <v/>
      </c>
    </row>
    <row r="187" customHeight="1" spans="1:5">
      <c r="A187" s="152" t="s">
        <v>171</v>
      </c>
      <c r="B187" s="101" t="s">
        <v>357</v>
      </c>
      <c r="C187" s="81" t="s">
        <v>358</v>
      </c>
      <c r="D187" s="81"/>
      <c r="E187" s="204" t="str">
        <f>IF(AND(E10="气体",E21="Kg/m3"),E20*E34*101.325/E17/273.15,IF(AND(E10="气体",E21="g/cm3"),E20*E34*101.325/E17/273.15*1000,IF(AND(E10="气体",E21="Kg/Nm3"),E20,"")))</f>
        <v/>
      </c>
    </row>
    <row r="188" customHeight="1" spans="1:5">
      <c r="A188" s="152" t="s">
        <v>174</v>
      </c>
      <c r="B188" s="101" t="s">
        <v>359</v>
      </c>
      <c r="C188" s="81" t="s">
        <v>356</v>
      </c>
      <c r="D188" s="81"/>
      <c r="E188" s="204">
        <f>IF(AND(E10="蒸汽",E21="Kg/m3"),E20,IF(AND(E10="蒸汽",E21="g/cm3"),E20*1000,IF(AND(E10="两相流(液体+蒸汽)",E21="Kg/m3"),E22,IF(AND(E10="两相流(液体+蒸汽)",E21="g/cm3"),E22*1000,""))))</f>
        <v>2.54</v>
      </c>
    </row>
    <row r="189" customHeight="1" spans="1:5">
      <c r="A189" s="152" t="s">
        <v>360</v>
      </c>
      <c r="B189" s="101" t="s">
        <v>361</v>
      </c>
      <c r="C189" s="81" t="s">
        <v>356</v>
      </c>
      <c r="D189" s="81"/>
      <c r="E189" s="204" t="str">
        <f>IF(AND(E10="两相流(液体+气体)",E23="Kg/Nm3"),E22*(E17*273.15)/E34/101.325,IF(AND(E10="两相流(液体+气体)",E23="g/cm3"),E22*1000,IF(AND(E10="两相流(液体+气体)",E23="Kg/m3"),E22,"")))</f>
        <v/>
      </c>
    </row>
    <row r="190" customHeight="1" spans="1:5">
      <c r="A190" s="198" t="s">
        <v>360</v>
      </c>
      <c r="B190" s="158" t="s">
        <v>362</v>
      </c>
      <c r="C190" s="159" t="s">
        <v>23</v>
      </c>
      <c r="D190" s="159"/>
      <c r="E190" s="220">
        <f>IF(E10="液体",E186,IF(E10="气体",E187,IF(E10="蒸汽",E188,IF(E10="两相流",E105,))))</f>
        <v>2.54</v>
      </c>
    </row>
    <row r="191" customHeight="1" spans="1:5">
      <c r="A191" s="200" t="s">
        <v>363</v>
      </c>
      <c r="B191" s="201"/>
      <c r="C191" s="201"/>
      <c r="D191" s="202"/>
      <c r="E191" s="221"/>
    </row>
    <row r="192" customHeight="1" spans="1:5">
      <c r="A192" s="198"/>
      <c r="B192" s="158" t="s">
        <v>364</v>
      </c>
      <c r="C192" s="159" t="s">
        <v>365</v>
      </c>
      <c r="D192" s="199"/>
      <c r="E192" s="220">
        <f>IF(AND(E28="运动粘度 v",E30="m2/s"),E29,IF(AND(E28="运动粘度 v",E30="mm2/s"),E29*10^-6,IF(AND(E28="运动粘度 v",E30="St"),E29*10^-4,IF(AND(E28="运动粘度 v",E30="Cst"),E29^-6,IF(AND(E28="运动粘度 v",E30="mm2/s"),E29*10^-6,IF(AND(E28="动力粘度 u",E30="cP"),E29*E190/1000,IF(AND(E28="动力粘度 u",E30="Pa.S"),E29*E190,IF(AND(E28="动力粘度 u",E30="mPa.S"),E29*E190/1000,))))))))</f>
        <v>0.00254</v>
      </c>
    </row>
    <row r="193" customHeight="1" spans="1:6">
      <c r="A193" s="148" t="s">
        <v>366</v>
      </c>
      <c r="B193" s="149"/>
      <c r="C193" s="149"/>
      <c r="D193" s="150"/>
      <c r="E193" s="208"/>
    </row>
    <row r="194" customHeight="1" spans="1:6">
      <c r="A194" s="152" t="s">
        <v>200</v>
      </c>
      <c r="B194" s="101" t="s">
        <v>201</v>
      </c>
      <c r="C194" s="81"/>
      <c r="D194" s="153" t="s">
        <v>9</v>
      </c>
      <c r="E194" s="172">
        <v>7.07406</v>
      </c>
      <c r="F194" s="97" t="s">
        <v>367</v>
      </c>
    </row>
    <row r="195" customHeight="1" spans="1:6">
      <c r="A195" s="152" t="s">
        <v>202</v>
      </c>
      <c r="B195" s="101" t="s">
        <v>201</v>
      </c>
      <c r="C195" s="81"/>
      <c r="D195" s="153" t="s">
        <v>9</v>
      </c>
      <c r="E195" s="172">
        <v>1657.46</v>
      </c>
      <c r="F195" s="97"/>
    </row>
    <row r="196" customHeight="1" spans="1:6">
      <c r="A196" s="152" t="s">
        <v>55</v>
      </c>
      <c r="B196" s="101" t="s">
        <v>201</v>
      </c>
      <c r="C196" s="81"/>
      <c r="D196" s="153" t="s">
        <v>9</v>
      </c>
      <c r="E196" s="172">
        <v>227.02</v>
      </c>
      <c r="F196" s="97"/>
    </row>
    <row r="197" customHeight="1" spans="1:6">
      <c r="A197" s="152" t="s">
        <v>36</v>
      </c>
      <c r="B197" s="101" t="s">
        <v>204</v>
      </c>
      <c r="C197" s="81" t="s">
        <v>15</v>
      </c>
      <c r="D197" s="153"/>
      <c r="E197" s="172">
        <f>IF(E12="℃",10^(E194-E195/(E196+E11)),IF(E12="K",10^(E194-E195/(E196+(E11-273)))))</f>
        <v>3976.00366670689</v>
      </c>
    </row>
    <row r="198" customHeight="1" spans="1:6">
      <c r="A198" s="198" t="s">
        <v>205</v>
      </c>
      <c r="B198" s="158" t="s">
        <v>206</v>
      </c>
      <c r="C198" s="159" t="s">
        <v>8</v>
      </c>
      <c r="D198" s="160"/>
      <c r="E198" s="197">
        <f>E195/(E194-LOG10(E17))-227.02</f>
        <v>179.812496330442</v>
      </c>
    </row>
  </sheetData>
  <mergeCells count="49">
    <mergeCell ref="A2:E2"/>
    <mergeCell ref="A9:E9"/>
    <mergeCell ref="A36:E36"/>
    <mergeCell ref="A47:E47"/>
    <mergeCell ref="A55:E55"/>
    <mergeCell ref="A67:E67"/>
    <mergeCell ref="A89:E89"/>
    <mergeCell ref="A96:E96"/>
    <mergeCell ref="A103:E103"/>
    <mergeCell ref="A109:E109"/>
    <mergeCell ref="A176:E176"/>
    <mergeCell ref="A185:E185"/>
    <mergeCell ref="A191:E191"/>
    <mergeCell ref="A193:E193"/>
    <mergeCell ref="A11:A12"/>
    <mergeCell ref="A13:A16"/>
    <mergeCell ref="A20:A23"/>
    <mergeCell ref="A28:A30"/>
    <mergeCell ref="A51:A52"/>
    <mergeCell ref="A64:A66"/>
    <mergeCell ref="A68:A72"/>
    <mergeCell ref="A76:A80"/>
    <mergeCell ref="A85:A88"/>
    <mergeCell ref="A114:A115"/>
    <mergeCell ref="A117:A118"/>
    <mergeCell ref="A137:A138"/>
    <mergeCell ref="A161:A162"/>
    <mergeCell ref="A170:A171"/>
    <mergeCell ref="A177:A178"/>
    <mergeCell ref="A179:A180"/>
    <mergeCell ref="B11:B12"/>
    <mergeCell ref="B13:B14"/>
    <mergeCell ref="B15:B16"/>
    <mergeCell ref="B20:B21"/>
    <mergeCell ref="B22:B23"/>
    <mergeCell ref="B28:B30"/>
    <mergeCell ref="B64:B66"/>
    <mergeCell ref="B73:B74"/>
    <mergeCell ref="B117:B118"/>
    <mergeCell ref="B137:B138"/>
    <mergeCell ref="B156:B175"/>
    <mergeCell ref="B177:B178"/>
    <mergeCell ref="B179:B180"/>
    <mergeCell ref="B181:B182"/>
    <mergeCell ref="B183:B184"/>
    <mergeCell ref="C137:C138"/>
    <mergeCell ref="F3:F8"/>
    <mergeCell ref="F126:F127"/>
    <mergeCell ref="F194:F196"/>
  </mergeCells>
  <dataValidations count="9">
    <dataValidation type="list" allowBlank="1" showInputMessage="1" showErrorMessage="1" sqref="E10">
      <formula1>"液体,气体,蒸汽,两相流(液体+气体),两相流(液体+蒸汽)"</formula1>
    </dataValidation>
    <dataValidation type="list" allowBlank="1" showInputMessage="1" showErrorMessage="1" sqref="E12">
      <formula1>"℃,K"</formula1>
    </dataValidation>
    <dataValidation type="list" allowBlank="1" showInputMessage="1" showErrorMessage="1" sqref="E14 E16">
      <formula1>"m3/h,Nm3/h,Kg/h,t/h"</formula1>
    </dataValidation>
    <dataValidation type="list" allowBlank="1" showInputMessage="1" showErrorMessage="1" sqref="E21 E23">
      <formula1>"Kg/m3,g/cm3,Kg/Nm3"</formula1>
    </dataValidation>
    <dataValidation type="list" allowBlank="1" showInputMessage="1" showErrorMessage="1" sqref="E28">
      <formula1>"动力粘度 u,运动粘度 v"</formula1>
    </dataValidation>
    <dataValidation type="list" allowBlank="1" showInputMessage="1" showErrorMessage="1" sqref="E30">
      <formula1>"m2/s,mm2/s,St,Cst,cP,Pa.S,mPa.S"</formula1>
    </dataValidation>
    <dataValidation type="list" allowBlank="1" showInputMessage="1" showErrorMessage="1" sqref="E37">
      <formula1>"IQ10,IQ20,IQ30,IQ50,IQ60,IQ70"</formula1>
    </dataValidation>
    <dataValidation type="list" allowBlank="1" showInputMessage="1" showErrorMessage="1" sqref="E38">
      <formula1>"标准型,2级降压,3级减压,4级降压"</formula1>
    </dataValidation>
    <dataValidation type="list" allowBlank="1" showInputMessage="1" showErrorMessage="1" sqref="E43">
      <formula1>"等百分比,线性,快开"</formula1>
    </dataValidation>
  </dataValidations>
  <pageMargins left="0.275" right="0.118055555555556" top="0.196527777777778" bottom="0.118055555555556" header="0.0784722222222222" footer="0.0784722222222222"/>
  <pageSetup paperSize="9" scale="87" orientation="portrait"/>
  <headerFooter/>
  <drawing r:id="rId1"/>
  <legacyDrawing r:id="rId2"/>
  <oleObjects>
    <mc:AlternateContent xmlns:mc="http://schemas.openxmlformats.org/markup-compatibility/2006">
      <mc:Choice Requires="x14">
        <oleObject shapeId="106497" progId="Equation.KSEE3" r:id="rId3">
          <objectPr defaultSize="0" r:id="rId4">
            <anchor moveWithCells="1">
              <from>
                <xdr:col>3</xdr:col>
                <xdr:colOff>1343025</xdr:colOff>
                <xdr:row>63</xdr:row>
                <xdr:rowOff>9525</xdr:rowOff>
              </from>
              <to>
                <xdr:col>3</xdr:col>
                <xdr:colOff>2095500</xdr:colOff>
                <xdr:row>63</xdr:row>
                <xdr:rowOff>390525</xdr:rowOff>
              </to>
            </anchor>
          </objectPr>
        </oleObject>
      </mc:Choice>
      <mc:Fallback>
        <oleObject shapeId="106497" progId="Equation.KSEE3" r:id="rId3"/>
      </mc:Fallback>
    </mc:AlternateContent>
    <mc:AlternateContent xmlns:mc="http://schemas.openxmlformats.org/markup-compatibility/2006">
      <mc:Choice Requires="x14">
        <oleObject shapeId="106498" progId="Equation.KSEE3" r:id="rId5">
          <objectPr defaultSize="0" r:id="rId6">
            <anchor moveWithCells="1">
              <from>
                <xdr:col>3</xdr:col>
                <xdr:colOff>1381125</xdr:colOff>
                <xdr:row>55</xdr:row>
                <xdr:rowOff>19050</xdr:rowOff>
              </from>
              <to>
                <xdr:col>3</xdr:col>
                <xdr:colOff>2400300</xdr:colOff>
                <xdr:row>55</xdr:row>
                <xdr:rowOff>390525</xdr:rowOff>
              </to>
            </anchor>
          </objectPr>
        </oleObject>
      </mc:Choice>
      <mc:Fallback>
        <oleObject shapeId="106498" progId="Equation.KSEE3" r:id="rId5"/>
      </mc:Fallback>
    </mc:AlternateContent>
    <mc:AlternateContent xmlns:mc="http://schemas.openxmlformats.org/markup-compatibility/2006">
      <mc:Choice Requires="x14">
        <oleObject shapeId="106499" progId="Equation.KSEE3" r:id="rId7">
          <objectPr defaultSize="0" r:id="rId8">
            <anchor moveWithCells="1">
              <from>
                <xdr:col>3</xdr:col>
                <xdr:colOff>1343025</xdr:colOff>
                <xdr:row>56</xdr:row>
                <xdr:rowOff>9525</xdr:rowOff>
              </from>
              <to>
                <xdr:col>3</xdr:col>
                <xdr:colOff>2524125</xdr:colOff>
                <xdr:row>56</xdr:row>
                <xdr:rowOff>390525</xdr:rowOff>
              </to>
            </anchor>
          </objectPr>
        </oleObject>
      </mc:Choice>
      <mc:Fallback>
        <oleObject shapeId="106499" progId="Equation.KSEE3" r:id="rId7"/>
      </mc:Fallback>
    </mc:AlternateContent>
    <mc:AlternateContent xmlns:mc="http://schemas.openxmlformats.org/markup-compatibility/2006">
      <mc:Choice Requires="x14">
        <oleObject shapeId="106500" progId="Equation.KSEE3" r:id="rId9">
          <objectPr defaultSize="0" r:id="rId10">
            <anchor moveWithCells="1">
              <from>
                <xdr:col>3</xdr:col>
                <xdr:colOff>1285875</xdr:colOff>
                <xdr:row>57</xdr:row>
                <xdr:rowOff>9525</xdr:rowOff>
              </from>
              <to>
                <xdr:col>3</xdr:col>
                <xdr:colOff>2590800</xdr:colOff>
                <xdr:row>57</xdr:row>
                <xdr:rowOff>400050</xdr:rowOff>
              </to>
            </anchor>
          </objectPr>
        </oleObject>
      </mc:Choice>
      <mc:Fallback>
        <oleObject shapeId="106500" progId="Equation.KSEE3" r:id="rId9"/>
      </mc:Fallback>
    </mc:AlternateContent>
    <mc:AlternateContent xmlns:mc="http://schemas.openxmlformats.org/markup-compatibility/2006">
      <mc:Choice Requires="x14">
        <oleObject shapeId="106501" progId="Equation.KSEE3" r:id="rId11">
          <objectPr defaultSize="0" r:id="rId12">
            <anchor moveWithCells="1">
              <from>
                <xdr:col>3</xdr:col>
                <xdr:colOff>1238250</xdr:colOff>
                <xdr:row>58</xdr:row>
                <xdr:rowOff>19050</xdr:rowOff>
              </from>
              <to>
                <xdr:col>3</xdr:col>
                <xdr:colOff>2600325</xdr:colOff>
                <xdr:row>58</xdr:row>
                <xdr:rowOff>409575</xdr:rowOff>
              </to>
            </anchor>
          </objectPr>
        </oleObject>
      </mc:Choice>
      <mc:Fallback>
        <oleObject shapeId="106501" progId="Equation.KSEE3" r:id="rId11"/>
      </mc:Fallback>
    </mc:AlternateContent>
    <mc:AlternateContent xmlns:mc="http://schemas.openxmlformats.org/markup-compatibility/2006">
      <mc:Choice Requires="x14">
        <oleObject shapeId="106502" progId="Equation.KSEE3" r:id="rId13">
          <objectPr defaultSize="0" r:id="rId14">
            <anchor moveWithCells="1">
              <from>
                <xdr:col>3</xdr:col>
                <xdr:colOff>1266825</xdr:colOff>
                <xdr:row>59</xdr:row>
                <xdr:rowOff>28575</xdr:rowOff>
              </from>
              <to>
                <xdr:col>3</xdr:col>
                <xdr:colOff>2428875</xdr:colOff>
                <xdr:row>59</xdr:row>
                <xdr:rowOff>428625</xdr:rowOff>
              </to>
            </anchor>
          </objectPr>
        </oleObject>
      </mc:Choice>
      <mc:Fallback>
        <oleObject shapeId="106502" progId="Equation.KSEE3" r:id="rId13"/>
      </mc:Fallback>
    </mc:AlternateContent>
    <mc:AlternateContent xmlns:mc="http://schemas.openxmlformats.org/markup-compatibility/2006">
      <mc:Choice Requires="x14">
        <oleObject shapeId="106503" progId="Equation.KSEE3" r:id="rId15">
          <objectPr defaultSize="0" r:id="rId16">
            <anchor moveWithCells="1">
              <from>
                <xdr:col>3</xdr:col>
                <xdr:colOff>1133475</xdr:colOff>
                <xdr:row>81</xdr:row>
                <xdr:rowOff>28575</xdr:rowOff>
              </from>
              <to>
                <xdr:col>3</xdr:col>
                <xdr:colOff>2486025</xdr:colOff>
                <xdr:row>81</xdr:row>
                <xdr:rowOff>733425</xdr:rowOff>
              </to>
            </anchor>
          </objectPr>
        </oleObject>
      </mc:Choice>
      <mc:Fallback>
        <oleObject shapeId="106503" progId="Equation.KSEE3" r:id="rId15"/>
      </mc:Fallback>
    </mc:AlternateContent>
    <mc:AlternateContent xmlns:mc="http://schemas.openxmlformats.org/markup-compatibility/2006">
      <mc:Choice Requires="x14">
        <oleObject shapeId="106504" progId="Equation.KSEE3" r:id="rId17">
          <objectPr defaultSize="0" r:id="rId18">
            <anchor moveWithCells="1">
              <from>
                <xdr:col>3</xdr:col>
                <xdr:colOff>752475</xdr:colOff>
                <xdr:row>131</xdr:row>
                <xdr:rowOff>76200</xdr:rowOff>
              </from>
              <to>
                <xdr:col>3</xdr:col>
                <xdr:colOff>2828925</xdr:colOff>
                <xdr:row>131</xdr:row>
                <xdr:rowOff>371475</xdr:rowOff>
              </to>
            </anchor>
          </objectPr>
        </oleObject>
      </mc:Choice>
      <mc:Fallback>
        <oleObject shapeId="106504" progId="Equation.KSEE3" r:id="rId17"/>
      </mc:Fallback>
    </mc:AlternateContent>
    <mc:AlternateContent xmlns:mc="http://schemas.openxmlformats.org/markup-compatibility/2006">
      <mc:Choice Requires="x14">
        <oleObject shapeId="106505" progId="Equation.KSEE3" r:id="rId19">
          <objectPr defaultSize="0" r:id="rId20">
            <anchor moveWithCells="1">
              <from>
                <xdr:col>3</xdr:col>
                <xdr:colOff>923925</xdr:colOff>
                <xdr:row>132</xdr:row>
                <xdr:rowOff>85725</xdr:rowOff>
              </from>
              <to>
                <xdr:col>3</xdr:col>
                <xdr:colOff>2676525</xdr:colOff>
                <xdr:row>132</xdr:row>
                <xdr:rowOff>895350</xdr:rowOff>
              </to>
            </anchor>
          </objectPr>
        </oleObject>
      </mc:Choice>
      <mc:Fallback>
        <oleObject shapeId="106505" progId="Equation.KSEE3" r:id="rId19"/>
      </mc:Fallback>
    </mc:AlternateContent>
    <mc:AlternateContent xmlns:mc="http://schemas.openxmlformats.org/markup-compatibility/2006">
      <mc:Choice Requires="x14">
        <oleObject shapeId="106506" progId="Equation.KSEE3" r:id="rId21">
          <objectPr defaultSize="0" r:id="rId22">
            <anchor moveWithCells="1">
              <from>
                <xdr:col>3</xdr:col>
                <xdr:colOff>923925</xdr:colOff>
                <xdr:row>133</xdr:row>
                <xdr:rowOff>66675</xdr:rowOff>
              </from>
              <to>
                <xdr:col>3</xdr:col>
                <xdr:colOff>2686050</xdr:colOff>
                <xdr:row>133</xdr:row>
                <xdr:rowOff>876300</xdr:rowOff>
              </to>
            </anchor>
          </objectPr>
        </oleObject>
      </mc:Choice>
      <mc:Fallback>
        <oleObject shapeId="106506" progId="Equation.KSEE3" r:id="rId21"/>
      </mc:Fallback>
    </mc:AlternateContent>
    <mc:AlternateContent xmlns:mc="http://schemas.openxmlformats.org/markup-compatibility/2006">
      <mc:Choice Requires="x14">
        <oleObject shapeId="106507" progId="Equation.KSEE3" r:id="rId23">
          <objectPr defaultSize="0" r:id="rId24">
            <anchor moveWithCells="1">
              <from>
                <xdr:col>3</xdr:col>
                <xdr:colOff>1133475</xdr:colOff>
                <xdr:row>134</xdr:row>
                <xdr:rowOff>47625</xdr:rowOff>
              </from>
              <to>
                <xdr:col>3</xdr:col>
                <xdr:colOff>2428875</xdr:colOff>
                <xdr:row>134</xdr:row>
                <xdr:rowOff>733425</xdr:rowOff>
              </to>
            </anchor>
          </objectPr>
        </oleObject>
      </mc:Choice>
      <mc:Fallback>
        <oleObject shapeId="106507" progId="Equation.KSEE3" r:id="rId23"/>
      </mc:Fallback>
    </mc:AlternateContent>
    <mc:AlternateContent xmlns:mc="http://schemas.openxmlformats.org/markup-compatibility/2006">
      <mc:Choice Requires="x14">
        <oleObject shapeId="106508" progId="Equation.KSEE3" r:id="rId25">
          <objectPr defaultSize="0" r:id="rId26">
            <anchor moveWithCells="1">
              <from>
                <xdr:col>3</xdr:col>
                <xdr:colOff>1104900</xdr:colOff>
                <xdr:row>135</xdr:row>
                <xdr:rowOff>47625</xdr:rowOff>
              </from>
              <to>
                <xdr:col>3</xdr:col>
                <xdr:colOff>2457450</xdr:colOff>
                <xdr:row>135</xdr:row>
                <xdr:rowOff>742950</xdr:rowOff>
              </to>
            </anchor>
          </objectPr>
        </oleObject>
      </mc:Choice>
      <mc:Fallback>
        <oleObject shapeId="106508" progId="Equation.KSEE3" r:id="rId25"/>
      </mc:Fallback>
    </mc:AlternateContent>
    <mc:AlternateContent xmlns:mc="http://schemas.openxmlformats.org/markup-compatibility/2006">
      <mc:Choice Requires="x14">
        <oleObject shapeId="106509" progId="Equation.KSEE3" r:id="rId27">
          <objectPr defaultSize="0" r:id="rId28">
            <anchor moveWithCells="1">
              <from>
                <xdr:col>3</xdr:col>
                <xdr:colOff>723900</xdr:colOff>
                <xdr:row>138</xdr:row>
                <xdr:rowOff>38100</xdr:rowOff>
              </from>
              <to>
                <xdr:col>3</xdr:col>
                <xdr:colOff>2828925</xdr:colOff>
                <xdr:row>138</xdr:row>
                <xdr:rowOff>657225</xdr:rowOff>
              </to>
            </anchor>
          </objectPr>
        </oleObject>
      </mc:Choice>
      <mc:Fallback>
        <oleObject shapeId="106509" progId="Equation.KSEE3" r:id="rId27"/>
      </mc:Fallback>
    </mc:AlternateContent>
    <mc:AlternateContent xmlns:mc="http://schemas.openxmlformats.org/markup-compatibility/2006">
      <mc:Choice Requires="x14">
        <oleObject shapeId="106510" progId="Equation.KSEE3" r:id="rId29">
          <objectPr defaultSize="0" r:id="rId30">
            <anchor moveWithCells="1">
              <from>
                <xdr:col>3</xdr:col>
                <xdr:colOff>752475</xdr:colOff>
                <xdr:row>139</xdr:row>
                <xdr:rowOff>85725</xdr:rowOff>
              </from>
              <to>
                <xdr:col>3</xdr:col>
                <xdr:colOff>2695575</xdr:colOff>
                <xdr:row>139</xdr:row>
                <xdr:rowOff>590550</xdr:rowOff>
              </to>
            </anchor>
          </objectPr>
        </oleObject>
      </mc:Choice>
      <mc:Fallback>
        <oleObject shapeId="106510" progId="Equation.KSEE3" r:id="rId29"/>
      </mc:Fallback>
    </mc:AlternateContent>
    <mc:AlternateContent xmlns:mc="http://schemas.openxmlformats.org/markup-compatibility/2006">
      <mc:Choice Requires="x14">
        <oleObject shapeId="106511" progId="Equation.KSEE3" r:id="rId31">
          <objectPr defaultSize="0" r:id="rId32">
            <anchor moveWithCells="1">
              <from>
                <xdr:col>3</xdr:col>
                <xdr:colOff>1371600</xdr:colOff>
                <xdr:row>141</xdr:row>
                <xdr:rowOff>85725</xdr:rowOff>
              </from>
              <to>
                <xdr:col>3</xdr:col>
                <xdr:colOff>2124075</xdr:colOff>
                <xdr:row>141</xdr:row>
                <xdr:rowOff>742950</xdr:rowOff>
              </to>
            </anchor>
          </objectPr>
        </oleObject>
      </mc:Choice>
      <mc:Fallback>
        <oleObject shapeId="106511" progId="Equation.KSEE3" r:id="rId31"/>
      </mc:Fallback>
    </mc:AlternateContent>
    <mc:AlternateContent xmlns:mc="http://schemas.openxmlformats.org/markup-compatibility/2006">
      <mc:Choice Requires="x14">
        <oleObject shapeId="106512" progId="Equation.KSEE3" r:id="rId33">
          <objectPr defaultSize="0" r:id="rId34">
            <anchor moveWithCells="1">
              <from>
                <xdr:col>3</xdr:col>
                <xdr:colOff>1152525</xdr:colOff>
                <xdr:row>140</xdr:row>
                <xdr:rowOff>142875</xdr:rowOff>
              </from>
              <to>
                <xdr:col>3</xdr:col>
                <xdr:colOff>2314575</xdr:colOff>
                <xdr:row>140</xdr:row>
                <xdr:rowOff>571500</xdr:rowOff>
              </to>
            </anchor>
          </objectPr>
        </oleObject>
      </mc:Choice>
      <mc:Fallback>
        <oleObject shapeId="106512" progId="Equation.KSEE3" r:id="rId33"/>
      </mc:Fallback>
    </mc:AlternateContent>
    <mc:AlternateContent xmlns:mc="http://schemas.openxmlformats.org/markup-compatibility/2006">
      <mc:Choice Requires="x14">
        <oleObject shapeId="106513" progId="Equation.KSEE3" r:id="rId35">
          <objectPr defaultSize="0" r:id="rId36">
            <anchor moveWithCells="1">
              <from>
                <xdr:col>3</xdr:col>
                <xdr:colOff>1152525</xdr:colOff>
                <xdr:row>142</xdr:row>
                <xdr:rowOff>66675</xdr:rowOff>
              </from>
              <to>
                <xdr:col>3</xdr:col>
                <xdr:colOff>2371725</xdr:colOff>
                <xdr:row>142</xdr:row>
                <xdr:rowOff>533400</xdr:rowOff>
              </to>
            </anchor>
          </objectPr>
        </oleObject>
      </mc:Choice>
      <mc:Fallback>
        <oleObject shapeId="106513" progId="Equation.KSEE3" r:id="rId35"/>
      </mc:Fallback>
    </mc:AlternateContent>
    <mc:AlternateContent xmlns:mc="http://schemas.openxmlformats.org/markup-compatibility/2006">
      <mc:Choice Requires="x14">
        <oleObject shapeId="106514" progId="Equation.KSEE3" r:id="rId37">
          <objectPr defaultSize="0" r:id="rId38">
            <anchor moveWithCells="1">
              <from>
                <xdr:col>3</xdr:col>
                <xdr:colOff>771525</xdr:colOff>
                <xdr:row>143</xdr:row>
                <xdr:rowOff>66675</xdr:rowOff>
              </from>
              <to>
                <xdr:col>3</xdr:col>
                <xdr:colOff>2714625</xdr:colOff>
                <xdr:row>143</xdr:row>
                <xdr:rowOff>571500</xdr:rowOff>
              </to>
            </anchor>
          </objectPr>
        </oleObject>
      </mc:Choice>
      <mc:Fallback>
        <oleObject shapeId="106514" progId="Equation.KSEE3" r:id="rId37"/>
      </mc:Fallback>
    </mc:AlternateContent>
    <mc:AlternateContent xmlns:mc="http://schemas.openxmlformats.org/markup-compatibility/2006">
      <mc:Choice Requires="x14">
        <oleObject shapeId="106515" progId="Equation.KSEE3" r:id="rId39">
          <objectPr defaultSize="0" r:id="rId40">
            <anchor moveWithCells="1">
              <from>
                <xdr:col>3</xdr:col>
                <xdr:colOff>1133475</xdr:colOff>
                <xdr:row>144</xdr:row>
                <xdr:rowOff>76200</xdr:rowOff>
              </from>
              <to>
                <xdr:col>3</xdr:col>
                <xdr:colOff>2314575</xdr:colOff>
                <xdr:row>144</xdr:row>
                <xdr:rowOff>504825</xdr:rowOff>
              </to>
            </anchor>
          </objectPr>
        </oleObject>
      </mc:Choice>
      <mc:Fallback>
        <oleObject shapeId="106515" progId="Equation.KSEE3" r:id="rId39"/>
      </mc:Fallback>
    </mc:AlternateContent>
    <mc:AlternateContent xmlns:mc="http://schemas.openxmlformats.org/markup-compatibility/2006">
      <mc:Choice Requires="x14">
        <oleObject shapeId="106516" progId="Equation.KSEE3" r:id="rId41">
          <objectPr defaultSize="0" r:id="rId42">
            <anchor moveWithCells="1">
              <from>
                <xdr:col>3</xdr:col>
                <xdr:colOff>981075</xdr:colOff>
                <xdr:row>82</xdr:row>
                <xdr:rowOff>57150</xdr:rowOff>
              </from>
              <to>
                <xdr:col>3</xdr:col>
                <xdr:colOff>2724150</xdr:colOff>
                <xdr:row>82</xdr:row>
                <xdr:rowOff>771525</xdr:rowOff>
              </to>
            </anchor>
          </objectPr>
        </oleObject>
      </mc:Choice>
      <mc:Fallback>
        <oleObject shapeId="106516" progId="Equation.KSEE3" r:id="rId41"/>
      </mc:Fallback>
    </mc:AlternateContent>
    <mc:AlternateContent xmlns:mc="http://schemas.openxmlformats.org/markup-compatibility/2006">
      <mc:Choice Requires="x14">
        <oleObject shapeId="106517" progId="Equation.KSEE3" r:id="rId43">
          <objectPr defaultSize="0" r:id="rId44">
            <anchor moveWithCells="1">
              <from>
                <xdr:col>3</xdr:col>
                <xdr:colOff>1200150</xdr:colOff>
                <xdr:row>83</xdr:row>
                <xdr:rowOff>66675</xdr:rowOff>
              </from>
              <to>
                <xdr:col>3</xdr:col>
                <xdr:colOff>2533650</xdr:colOff>
                <xdr:row>83</xdr:row>
                <xdr:rowOff>552450</xdr:rowOff>
              </to>
            </anchor>
          </objectPr>
        </oleObject>
      </mc:Choice>
      <mc:Fallback>
        <oleObject shapeId="106517" progId="Equation.KSEE3" r:id="rId43"/>
      </mc:Fallback>
    </mc:AlternateContent>
    <mc:AlternateContent xmlns:mc="http://schemas.openxmlformats.org/markup-compatibility/2006">
      <mc:Choice Requires="x14">
        <oleObject shapeId="106518" progId="Equation.KSEE3" r:id="rId45">
          <objectPr defaultSize="0" r:id="rId46">
            <anchor moveWithCells="1">
              <from>
                <xdr:col>3</xdr:col>
                <xdr:colOff>1114425</xdr:colOff>
                <xdr:row>196</xdr:row>
                <xdr:rowOff>76200</xdr:rowOff>
              </from>
              <to>
                <xdr:col>3</xdr:col>
                <xdr:colOff>2419350</xdr:colOff>
                <xdr:row>196</xdr:row>
                <xdr:rowOff>371475</xdr:rowOff>
              </to>
            </anchor>
          </objectPr>
        </oleObject>
      </mc:Choice>
      <mc:Fallback>
        <oleObject shapeId="106518" progId="Equation.KSEE3" r:id="rId45"/>
      </mc:Fallback>
    </mc:AlternateContent>
    <mc:AlternateContent xmlns:mc="http://schemas.openxmlformats.org/markup-compatibility/2006">
      <mc:Choice Requires="x14">
        <oleObject shapeId="106519" progId="Equation.KSEE3" r:id="rId47">
          <objectPr defaultSize="0" r:id="rId48">
            <anchor moveWithCells="1">
              <from>
                <xdr:col>3</xdr:col>
                <xdr:colOff>695325</xdr:colOff>
                <xdr:row>197</xdr:row>
                <xdr:rowOff>85725</xdr:rowOff>
              </from>
              <to>
                <xdr:col>3</xdr:col>
                <xdr:colOff>3038475</xdr:colOff>
                <xdr:row>197</xdr:row>
                <xdr:rowOff>390525</xdr:rowOff>
              </to>
            </anchor>
          </objectPr>
        </oleObject>
      </mc:Choice>
      <mc:Fallback>
        <oleObject shapeId="106519" progId="Equation.KSEE3" r:id="rId47"/>
      </mc:Fallback>
    </mc:AlternateContent>
    <mc:AlternateContent xmlns:mc="http://schemas.openxmlformats.org/markup-compatibility/2006">
      <mc:Choice Requires="x14">
        <oleObject shapeId="106520" progId="Equation.KSEE3" r:id="rId49">
          <objectPr defaultSize="0" r:id="rId50">
            <anchor moveWithCells="1">
              <from>
                <xdr:col>3</xdr:col>
                <xdr:colOff>1714500</xdr:colOff>
                <xdr:row>87</xdr:row>
                <xdr:rowOff>38100</xdr:rowOff>
              </from>
              <to>
                <xdr:col>3</xdr:col>
                <xdr:colOff>1971675</xdr:colOff>
                <xdr:row>87</xdr:row>
                <xdr:rowOff>428625</xdr:rowOff>
              </to>
            </anchor>
          </objectPr>
        </oleObject>
      </mc:Choice>
      <mc:Fallback>
        <oleObject shapeId="106520" progId="Equation.KSEE3" r:id="rId49"/>
      </mc:Fallback>
    </mc:AlternateContent>
    <mc:AlternateContent xmlns:mc="http://schemas.openxmlformats.org/markup-compatibility/2006">
      <mc:Choice Requires="x14">
        <oleObject shapeId="106521" progId="Equation.KSEE3" r:id="rId51">
          <objectPr defaultSize="0" r:id="rId52">
            <anchor moveWithCells="1">
              <from>
                <xdr:col>3</xdr:col>
                <xdr:colOff>1571625</xdr:colOff>
                <xdr:row>85</xdr:row>
                <xdr:rowOff>38100</xdr:rowOff>
              </from>
              <to>
                <xdr:col>3</xdr:col>
                <xdr:colOff>2133600</xdr:colOff>
                <xdr:row>85</xdr:row>
                <xdr:rowOff>457200</xdr:rowOff>
              </to>
            </anchor>
          </objectPr>
        </oleObject>
      </mc:Choice>
      <mc:Fallback>
        <oleObject shapeId="106521" progId="Equation.KSEE3" r:id="rId51"/>
      </mc:Fallback>
    </mc:AlternateContent>
    <mc:AlternateContent xmlns:mc="http://schemas.openxmlformats.org/markup-compatibility/2006">
      <mc:Choice Requires="x14">
        <oleObject shapeId="106522" progId="Equation.KSEE3" r:id="rId53">
          <objectPr defaultSize="0" r:id="rId54">
            <anchor moveWithCells="1">
              <from>
                <xdr:col>3</xdr:col>
                <xdr:colOff>1371600</xdr:colOff>
                <xdr:row>86</xdr:row>
                <xdr:rowOff>28575</xdr:rowOff>
              </from>
              <to>
                <xdr:col>3</xdr:col>
                <xdr:colOff>2219325</xdr:colOff>
                <xdr:row>86</xdr:row>
                <xdr:rowOff>504825</xdr:rowOff>
              </to>
            </anchor>
          </objectPr>
        </oleObject>
      </mc:Choice>
      <mc:Fallback>
        <oleObject shapeId="106522" progId="Equation.KSEE3" r:id="rId53"/>
      </mc:Fallback>
    </mc:AlternateContent>
    <mc:AlternateContent xmlns:mc="http://schemas.openxmlformats.org/markup-compatibility/2006">
      <mc:Choice Requires="x14">
        <oleObject shapeId="106523" progId="Equation.KSEE3" r:id="rId55">
          <objectPr defaultSize="0" r:id="rId56">
            <anchor moveWithCells="1">
              <from>
                <xdr:col>3</xdr:col>
                <xdr:colOff>1571625</xdr:colOff>
                <xdr:row>84</xdr:row>
                <xdr:rowOff>28575</xdr:rowOff>
              </from>
              <to>
                <xdr:col>3</xdr:col>
                <xdr:colOff>2076450</xdr:colOff>
                <xdr:row>84</xdr:row>
                <xdr:rowOff>447675</xdr:rowOff>
              </to>
            </anchor>
          </objectPr>
        </oleObject>
      </mc:Choice>
      <mc:Fallback>
        <oleObject shapeId="106523" progId="Equation.KSEE3" r:id="rId55"/>
      </mc:Fallback>
    </mc:AlternateContent>
    <mc:AlternateContent xmlns:mc="http://schemas.openxmlformats.org/markup-compatibility/2006">
      <mc:Choice Requires="x14">
        <oleObject shapeId="106524" progId="Equation.KSEE3" r:id="rId57">
          <objectPr defaultSize="0" r:id="rId58">
            <anchor moveWithCells="1">
              <from>
                <xdr:col>3</xdr:col>
                <xdr:colOff>1381125</xdr:colOff>
                <xdr:row>126</xdr:row>
                <xdr:rowOff>47625</xdr:rowOff>
              </from>
              <to>
                <xdr:col>3</xdr:col>
                <xdr:colOff>2114550</xdr:colOff>
                <xdr:row>126</xdr:row>
                <xdr:rowOff>638175</xdr:rowOff>
              </to>
            </anchor>
          </objectPr>
        </oleObject>
      </mc:Choice>
      <mc:Fallback>
        <oleObject shapeId="106524" progId="Equation.KSEE3" r:id="rId57"/>
      </mc:Fallback>
    </mc:AlternateContent>
    <mc:AlternateContent xmlns:mc="http://schemas.openxmlformats.org/markup-compatibility/2006">
      <mc:Choice Requires="x14">
        <oleObject shapeId="106525" progId="Equation.KSEE3" r:id="rId59">
          <objectPr defaultSize="0" r:id="rId60">
            <anchor moveWithCells="1">
              <from>
                <xdr:col>3</xdr:col>
                <xdr:colOff>1371600</xdr:colOff>
                <xdr:row>127</xdr:row>
                <xdr:rowOff>104775</xdr:rowOff>
              </from>
              <to>
                <xdr:col>3</xdr:col>
                <xdr:colOff>2143125</xdr:colOff>
                <xdr:row>127</xdr:row>
                <xdr:rowOff>638175</xdr:rowOff>
              </to>
            </anchor>
          </objectPr>
        </oleObject>
      </mc:Choice>
      <mc:Fallback>
        <oleObject shapeId="106525" progId="Equation.KSEE3" r:id="rId59"/>
      </mc:Fallback>
    </mc:AlternateContent>
    <mc:AlternateContent xmlns:mc="http://schemas.openxmlformats.org/markup-compatibility/2006">
      <mc:Choice Requires="x14">
        <oleObject shapeId="106526" progId="Equation.KSEE3" r:id="rId61">
          <objectPr defaultSize="0" r:id="rId62">
            <anchor moveWithCells="1">
              <from>
                <xdr:col>3</xdr:col>
                <xdr:colOff>1247775</xdr:colOff>
                <xdr:row>128</xdr:row>
                <xdr:rowOff>66675</xdr:rowOff>
              </from>
              <to>
                <xdr:col>3</xdr:col>
                <xdr:colOff>2247900</xdr:colOff>
                <xdr:row>128</xdr:row>
                <xdr:rowOff>676275</xdr:rowOff>
              </to>
            </anchor>
          </objectPr>
        </oleObject>
      </mc:Choice>
      <mc:Fallback>
        <oleObject shapeId="106526" progId="Equation.KSEE3" r:id="rId61"/>
      </mc:Fallback>
    </mc:AlternateContent>
    <mc:AlternateContent xmlns:mc="http://schemas.openxmlformats.org/markup-compatibility/2006">
      <mc:Choice Requires="x14">
        <oleObject shapeId="106527" progId="Equation.KSEE3" r:id="rId63">
          <objectPr defaultSize="0" r:id="rId64">
            <anchor moveWithCells="1">
              <from>
                <xdr:col>3</xdr:col>
                <xdr:colOff>1228725</xdr:colOff>
                <xdr:row>129</xdr:row>
                <xdr:rowOff>76200</xdr:rowOff>
              </from>
              <to>
                <xdr:col>3</xdr:col>
                <xdr:colOff>2228850</xdr:colOff>
                <xdr:row>129</xdr:row>
                <xdr:rowOff>581025</xdr:rowOff>
              </to>
            </anchor>
          </objectPr>
        </oleObject>
      </mc:Choice>
      <mc:Fallback>
        <oleObject shapeId="106527" progId="Equation.KSEE3" r:id="rId63"/>
      </mc:Fallback>
    </mc:AlternateContent>
    <mc:AlternateContent xmlns:mc="http://schemas.openxmlformats.org/markup-compatibility/2006">
      <mc:Choice Requires="x14">
        <oleObject shapeId="106528" progId="Equation.KSEE3" r:id="rId65">
          <objectPr defaultSize="0" r:id="rId66">
            <anchor moveWithCells="1">
              <from>
                <xdr:col>3</xdr:col>
                <xdr:colOff>1323975</xdr:colOff>
                <xdr:row>130</xdr:row>
                <xdr:rowOff>142875</xdr:rowOff>
              </from>
              <to>
                <xdr:col>3</xdr:col>
                <xdr:colOff>2085975</xdr:colOff>
                <xdr:row>130</xdr:row>
                <xdr:rowOff>466725</xdr:rowOff>
              </to>
            </anchor>
          </objectPr>
        </oleObject>
      </mc:Choice>
      <mc:Fallback>
        <oleObject shapeId="106528" progId="Equation.KSEE3" r:id="rId65"/>
      </mc:Fallback>
    </mc:AlternateContent>
    <mc:AlternateContent xmlns:mc="http://schemas.openxmlformats.org/markup-compatibility/2006">
      <mc:Choice Requires="x14">
        <oleObject shapeId="106529" progId="Equation.KSEE3" r:id="rId67">
          <objectPr defaultSize="0" r:id="rId68">
            <anchor moveWithCells="1">
              <from>
                <xdr:col>3</xdr:col>
                <xdr:colOff>1295400</xdr:colOff>
                <xdr:row>151</xdr:row>
                <xdr:rowOff>38100</xdr:rowOff>
              </from>
              <to>
                <xdr:col>3</xdr:col>
                <xdr:colOff>2419350</xdr:colOff>
                <xdr:row>151</xdr:row>
                <xdr:rowOff>590550</xdr:rowOff>
              </to>
            </anchor>
          </objectPr>
        </oleObject>
      </mc:Choice>
      <mc:Fallback>
        <oleObject shapeId="106529" progId="Equation.KSEE3" r:id="rId67"/>
      </mc:Fallback>
    </mc:AlternateContent>
    <mc:AlternateContent xmlns:mc="http://schemas.openxmlformats.org/markup-compatibility/2006">
      <mc:Choice Requires="x14">
        <oleObject shapeId="106530" progId="Equation.KSEE3" r:id="rId69">
          <objectPr defaultSize="0" r:id="rId70">
            <anchor moveWithCells="1">
              <from>
                <xdr:col>3</xdr:col>
                <xdr:colOff>1457325</xdr:colOff>
                <xdr:row>145</xdr:row>
                <xdr:rowOff>28575</xdr:rowOff>
              </from>
              <to>
                <xdr:col>3</xdr:col>
                <xdr:colOff>2028825</xdr:colOff>
                <xdr:row>145</xdr:row>
                <xdr:rowOff>428625</xdr:rowOff>
              </to>
            </anchor>
          </objectPr>
        </oleObject>
      </mc:Choice>
      <mc:Fallback>
        <oleObject shapeId="106530" progId="Equation.KSEE3" r:id="rId69"/>
      </mc:Fallback>
    </mc:AlternateContent>
    <mc:AlternateContent xmlns:mc="http://schemas.openxmlformats.org/markup-compatibility/2006">
      <mc:Choice Requires="x14">
        <oleObject shapeId="106531" progId="Equation.KSEE3" r:id="rId71">
          <objectPr defaultSize="0" r:id="rId72">
            <anchor moveWithCells="1">
              <from>
                <xdr:col>3</xdr:col>
                <xdr:colOff>952500</xdr:colOff>
                <xdr:row>150</xdr:row>
                <xdr:rowOff>38100</xdr:rowOff>
              </from>
              <to>
                <xdr:col>3</xdr:col>
                <xdr:colOff>2714625</xdr:colOff>
                <xdr:row>150</xdr:row>
                <xdr:rowOff>1171575</xdr:rowOff>
              </to>
            </anchor>
          </objectPr>
        </oleObject>
      </mc:Choice>
      <mc:Fallback>
        <oleObject shapeId="106531" progId="Equation.KSEE3" r:id="rId71"/>
      </mc:Fallback>
    </mc:AlternateContent>
    <mc:AlternateContent xmlns:mc="http://schemas.openxmlformats.org/markup-compatibility/2006">
      <mc:Choice Requires="x14">
        <oleObject shapeId="106532" progId="Equation.KSEE3" r:id="rId73">
          <objectPr defaultSize="0" r:id="rId74">
            <anchor moveWithCells="1">
              <from>
                <xdr:col>3</xdr:col>
                <xdr:colOff>133350</xdr:colOff>
                <xdr:row>89</xdr:row>
                <xdr:rowOff>85725</xdr:rowOff>
              </from>
              <to>
                <xdr:col>3</xdr:col>
                <xdr:colOff>2352675</xdr:colOff>
                <xdr:row>89</xdr:row>
                <xdr:rowOff>714375</xdr:rowOff>
              </to>
            </anchor>
          </objectPr>
        </oleObject>
      </mc:Choice>
      <mc:Fallback>
        <oleObject shapeId="106532" progId="Equation.KSEE3" r:id="rId73"/>
      </mc:Fallback>
    </mc:AlternateContent>
    <mc:AlternateContent xmlns:mc="http://schemas.openxmlformats.org/markup-compatibility/2006">
      <mc:Choice Requires="x14">
        <oleObject shapeId="106533" progId="Equation.KSEE3" r:id="rId75">
          <objectPr defaultSize="0" r:id="rId76">
            <anchor moveWithCells="1">
              <from>
                <xdr:col>3</xdr:col>
                <xdr:colOff>142875</xdr:colOff>
                <xdr:row>90</xdr:row>
                <xdr:rowOff>76200</xdr:rowOff>
              </from>
              <to>
                <xdr:col>3</xdr:col>
                <xdr:colOff>2600325</xdr:colOff>
                <xdr:row>90</xdr:row>
                <xdr:rowOff>695325</xdr:rowOff>
              </to>
            </anchor>
          </objectPr>
        </oleObject>
      </mc:Choice>
      <mc:Fallback>
        <oleObject shapeId="106533" progId="Equation.KSEE3" r:id="rId75"/>
      </mc:Fallback>
    </mc:AlternateContent>
    <mc:AlternateContent xmlns:mc="http://schemas.openxmlformats.org/markup-compatibility/2006">
      <mc:Choice Requires="x14">
        <oleObject shapeId="106534" progId="Equation.KSEE3" r:id="rId77">
          <objectPr defaultSize="0" r:id="rId78">
            <anchor moveWithCells="1">
              <from>
                <xdr:col>3</xdr:col>
                <xdr:colOff>142875</xdr:colOff>
                <xdr:row>91</xdr:row>
                <xdr:rowOff>85725</xdr:rowOff>
              </from>
              <to>
                <xdr:col>3</xdr:col>
                <xdr:colOff>2724150</xdr:colOff>
                <xdr:row>91</xdr:row>
                <xdr:rowOff>752475</xdr:rowOff>
              </to>
            </anchor>
          </objectPr>
        </oleObject>
      </mc:Choice>
      <mc:Fallback>
        <oleObject shapeId="106534" progId="Equation.KSEE3" r:id="rId77"/>
      </mc:Fallback>
    </mc:AlternateContent>
    <mc:AlternateContent xmlns:mc="http://schemas.openxmlformats.org/markup-compatibility/2006">
      <mc:Choice Requires="x14">
        <oleObject shapeId="106535" progId="Equation.KSEE3" r:id="rId79">
          <objectPr defaultSize="0" r:id="rId80">
            <anchor moveWithCells="1">
              <from>
                <xdr:col>3</xdr:col>
                <xdr:colOff>152400</xdr:colOff>
                <xdr:row>92</xdr:row>
                <xdr:rowOff>57150</xdr:rowOff>
              </from>
              <to>
                <xdr:col>3</xdr:col>
                <xdr:colOff>2943225</xdr:colOff>
                <xdr:row>92</xdr:row>
                <xdr:rowOff>714375</xdr:rowOff>
              </to>
            </anchor>
          </objectPr>
        </oleObject>
      </mc:Choice>
      <mc:Fallback>
        <oleObject shapeId="106535" progId="Equation.KSEE3" r:id="rId79"/>
      </mc:Fallback>
    </mc:AlternateContent>
    <mc:AlternateContent xmlns:mc="http://schemas.openxmlformats.org/markup-compatibility/2006">
      <mc:Choice Requires="x14">
        <oleObject shapeId="106536" progId="Equation.KSEE3" r:id="rId81">
          <objectPr defaultSize="0" r:id="rId82">
            <anchor moveWithCells="1">
              <from>
                <xdr:col>3</xdr:col>
                <xdr:colOff>142875</xdr:colOff>
                <xdr:row>96</xdr:row>
                <xdr:rowOff>85725</xdr:rowOff>
              </from>
              <to>
                <xdr:col>3</xdr:col>
                <xdr:colOff>1571625</xdr:colOff>
                <xdr:row>96</xdr:row>
                <xdr:rowOff>638175</xdr:rowOff>
              </to>
            </anchor>
          </objectPr>
        </oleObject>
      </mc:Choice>
      <mc:Fallback>
        <oleObject shapeId="106536" progId="Equation.KSEE3" r:id="rId81"/>
      </mc:Fallback>
    </mc:AlternateContent>
    <mc:AlternateContent xmlns:mc="http://schemas.openxmlformats.org/markup-compatibility/2006">
      <mc:Choice Requires="x14">
        <oleObject shapeId="106537" progId="Equation.KSEE3" r:id="rId83">
          <objectPr defaultSize="0" r:id="rId84">
            <anchor moveWithCells="1">
              <from>
                <xdr:col>3</xdr:col>
                <xdr:colOff>123825</xdr:colOff>
                <xdr:row>97</xdr:row>
                <xdr:rowOff>66675</xdr:rowOff>
              </from>
              <to>
                <xdr:col>3</xdr:col>
                <xdr:colOff>1876425</xdr:colOff>
                <xdr:row>97</xdr:row>
                <xdr:rowOff>657225</xdr:rowOff>
              </to>
            </anchor>
          </objectPr>
        </oleObject>
      </mc:Choice>
      <mc:Fallback>
        <oleObject shapeId="106537" progId="Equation.KSEE3" r:id="rId83"/>
      </mc:Fallback>
    </mc:AlternateContent>
    <mc:AlternateContent xmlns:mc="http://schemas.openxmlformats.org/markup-compatibility/2006">
      <mc:Choice Requires="x14">
        <oleObject shapeId="106538" progId="Equation.KSEE3" r:id="rId85">
          <objectPr defaultSize="0" r:id="rId86">
            <anchor moveWithCells="1">
              <from>
                <xdr:col>3</xdr:col>
                <xdr:colOff>133350</xdr:colOff>
                <xdr:row>98</xdr:row>
                <xdr:rowOff>95250</xdr:rowOff>
              </from>
              <to>
                <xdr:col>3</xdr:col>
                <xdr:colOff>2295525</xdr:colOff>
                <xdr:row>98</xdr:row>
                <xdr:rowOff>704850</xdr:rowOff>
              </to>
            </anchor>
          </objectPr>
        </oleObject>
      </mc:Choice>
      <mc:Fallback>
        <oleObject shapeId="106538" progId="Equation.KSEE3" r:id="rId85"/>
      </mc:Fallback>
    </mc:AlternateContent>
    <mc:AlternateContent xmlns:mc="http://schemas.openxmlformats.org/markup-compatibility/2006">
      <mc:Choice Requires="x14">
        <oleObject shapeId="106539" progId="Equation.KSEE3" r:id="rId87">
          <objectPr defaultSize="0" r:id="rId88">
            <anchor moveWithCells="1">
              <from>
                <xdr:col>3</xdr:col>
                <xdr:colOff>114300</xdr:colOff>
                <xdr:row>99</xdr:row>
                <xdr:rowOff>66675</xdr:rowOff>
              </from>
              <to>
                <xdr:col>3</xdr:col>
                <xdr:colOff>2809875</xdr:colOff>
                <xdr:row>99</xdr:row>
                <xdr:rowOff>733425</xdr:rowOff>
              </to>
            </anchor>
          </objectPr>
        </oleObject>
      </mc:Choice>
      <mc:Fallback>
        <oleObject shapeId="106539" progId="Equation.KSEE3" r:id="rId87"/>
      </mc:Fallback>
    </mc:AlternateContent>
    <mc:AlternateContent xmlns:mc="http://schemas.openxmlformats.org/markup-compatibility/2006">
      <mc:Choice Requires="x14">
        <oleObject shapeId="106540" progId="Equation.KSEE3" r:id="rId89">
          <objectPr defaultSize="0" r:id="rId90">
            <anchor moveWithCells="1">
              <from>
                <xdr:col>3</xdr:col>
                <xdr:colOff>200025</xdr:colOff>
                <xdr:row>93</xdr:row>
                <xdr:rowOff>57150</xdr:rowOff>
              </from>
              <to>
                <xdr:col>3</xdr:col>
                <xdr:colOff>2486025</xdr:colOff>
                <xdr:row>93</xdr:row>
                <xdr:rowOff>695325</xdr:rowOff>
              </to>
            </anchor>
          </objectPr>
        </oleObject>
      </mc:Choice>
      <mc:Fallback>
        <oleObject shapeId="106540" progId="Equation.KSEE3" r:id="rId89"/>
      </mc:Fallback>
    </mc:AlternateContent>
    <mc:AlternateContent xmlns:mc="http://schemas.openxmlformats.org/markup-compatibility/2006">
      <mc:Choice Requires="x14">
        <oleObject shapeId="106541" progId="Equation.KSEE3" r:id="rId91">
          <objectPr defaultSize="0" r:id="rId92">
            <anchor moveWithCells="1">
              <from>
                <xdr:col>3</xdr:col>
                <xdr:colOff>76200</xdr:colOff>
                <xdr:row>100</xdr:row>
                <xdr:rowOff>104775</xdr:rowOff>
              </from>
              <to>
                <xdr:col>3</xdr:col>
                <xdr:colOff>2571750</xdr:colOff>
                <xdr:row>100</xdr:row>
                <xdr:rowOff>742950</xdr:rowOff>
              </to>
            </anchor>
          </objectPr>
        </oleObject>
      </mc:Choice>
      <mc:Fallback>
        <oleObject shapeId="106541" progId="Equation.KSEE3" r:id="rId91"/>
      </mc:Fallback>
    </mc:AlternateContent>
    <mc:AlternateContent xmlns:mc="http://schemas.openxmlformats.org/markup-compatibility/2006">
      <mc:Choice Requires="x14">
        <oleObject shapeId="106542" progId="Equation.KSEE3" r:id="rId93">
          <objectPr defaultSize="0" r:id="rId94">
            <anchor moveWithCells="1">
              <from>
                <xdr:col>3</xdr:col>
                <xdr:colOff>123825</xdr:colOff>
                <xdr:row>103</xdr:row>
                <xdr:rowOff>76200</xdr:rowOff>
              </from>
              <to>
                <xdr:col>3</xdr:col>
                <xdr:colOff>1590675</xdr:colOff>
                <xdr:row>103</xdr:row>
                <xdr:rowOff>676275</xdr:rowOff>
              </to>
            </anchor>
          </objectPr>
        </oleObject>
      </mc:Choice>
      <mc:Fallback>
        <oleObject shapeId="106542" progId="Equation.KSEE3" r:id="rId93"/>
      </mc:Fallback>
    </mc:AlternateContent>
    <mc:AlternateContent xmlns:mc="http://schemas.openxmlformats.org/markup-compatibility/2006">
      <mc:Choice Requires="x14">
        <oleObject shapeId="106543" progId="Equation.KSEE3" r:id="rId95">
          <objectPr defaultSize="0" r:id="rId96">
            <anchor moveWithCells="1">
              <from>
                <xdr:col>3</xdr:col>
                <xdr:colOff>123825</xdr:colOff>
                <xdr:row>104</xdr:row>
                <xdr:rowOff>85725</xdr:rowOff>
              </from>
              <to>
                <xdr:col>3</xdr:col>
                <xdr:colOff>2752725</xdr:colOff>
                <xdr:row>104</xdr:row>
                <xdr:rowOff>781050</xdr:rowOff>
              </to>
            </anchor>
          </objectPr>
        </oleObject>
      </mc:Choice>
      <mc:Fallback>
        <oleObject shapeId="106543" progId="Equation.KSEE3" r:id="rId95"/>
      </mc:Fallback>
    </mc:AlternateContent>
    <mc:AlternateContent xmlns:mc="http://schemas.openxmlformats.org/markup-compatibility/2006">
      <mc:Choice Requires="x14">
        <oleObject shapeId="106544" progId="Equation.KSEE3" r:id="rId97">
          <objectPr defaultSize="0" r:id="rId98">
            <anchor moveWithCells="1">
              <from>
                <xdr:col>3</xdr:col>
                <xdr:colOff>104775</xdr:colOff>
                <xdr:row>106</xdr:row>
                <xdr:rowOff>104775</xdr:rowOff>
              </from>
              <to>
                <xdr:col>3</xdr:col>
                <xdr:colOff>2419350</xdr:colOff>
                <xdr:row>106</xdr:row>
                <xdr:rowOff>733425</xdr:rowOff>
              </to>
            </anchor>
          </objectPr>
        </oleObject>
      </mc:Choice>
      <mc:Fallback>
        <oleObject shapeId="106544" progId="Equation.KSEE3" r:id="rId97"/>
      </mc:Fallback>
    </mc:AlternateContent>
    <mc:AlternateContent xmlns:mc="http://schemas.openxmlformats.org/markup-compatibility/2006">
      <mc:Choice Requires="x14">
        <oleObject shapeId="106545" progId="Equation.KSEE3" r:id="rId99">
          <objectPr defaultSize="0" r:id="rId100">
            <anchor moveWithCells="1">
              <from>
                <xdr:col>3</xdr:col>
                <xdr:colOff>114300</xdr:colOff>
                <xdr:row>105</xdr:row>
                <xdr:rowOff>95250</xdr:rowOff>
              </from>
              <to>
                <xdr:col>3</xdr:col>
                <xdr:colOff>2847975</xdr:colOff>
                <xdr:row>105</xdr:row>
                <xdr:rowOff>819150</xdr:rowOff>
              </to>
            </anchor>
          </objectPr>
        </oleObject>
      </mc:Choice>
      <mc:Fallback>
        <oleObject shapeId="106545" progId="Equation.KSEE3" r:id="rId99"/>
      </mc:Fallback>
    </mc:AlternateContent>
    <mc:AlternateContent xmlns:mc="http://schemas.openxmlformats.org/markup-compatibility/2006">
      <mc:Choice Requires="x14">
        <oleObject shapeId="106546" progId="Equation.KSEE3" r:id="rId101">
          <objectPr defaultSize="0" r:id="rId102">
            <anchor moveWithCells="1">
              <from>
                <xdr:col>3</xdr:col>
                <xdr:colOff>1295400</xdr:colOff>
                <xdr:row>72</xdr:row>
                <xdr:rowOff>161925</xdr:rowOff>
              </from>
              <to>
                <xdr:col>3</xdr:col>
                <xdr:colOff>2105025</xdr:colOff>
                <xdr:row>72</xdr:row>
                <xdr:rowOff>428625</xdr:rowOff>
              </to>
            </anchor>
          </objectPr>
        </oleObject>
      </mc:Choice>
      <mc:Fallback>
        <oleObject shapeId="106546" progId="Equation.KSEE3" r:id="rId101"/>
      </mc:Fallback>
    </mc:AlternateContent>
    <mc:AlternateContent xmlns:mc="http://schemas.openxmlformats.org/markup-compatibility/2006">
      <mc:Choice Requires="x14">
        <oleObject shapeId="106547" progId="Equation.KSEE3" r:id="rId103">
          <objectPr defaultSize="0" r:id="rId104">
            <anchor moveWithCells="1">
              <from>
                <xdr:col>3</xdr:col>
                <xdr:colOff>1266825</xdr:colOff>
                <xdr:row>73</xdr:row>
                <xdr:rowOff>9525</xdr:rowOff>
              </from>
              <to>
                <xdr:col>3</xdr:col>
                <xdr:colOff>2200275</xdr:colOff>
                <xdr:row>73</xdr:row>
                <xdr:rowOff>495300</xdr:rowOff>
              </to>
            </anchor>
          </objectPr>
        </oleObject>
      </mc:Choice>
      <mc:Fallback>
        <oleObject shapeId="106547" progId="Equation.KSEE3" r:id="rId103"/>
      </mc:Fallback>
    </mc:AlternateContent>
    <mc:AlternateContent xmlns:mc="http://schemas.openxmlformats.org/markup-compatibility/2006">
      <mc:Choice Requires="x14">
        <oleObject shapeId="106548" progId="Equation.KSEE3" r:id="rId105">
          <objectPr defaultSize="0" r:id="rId4">
            <anchor moveWithCells="1">
              <from>
                <xdr:col>3</xdr:col>
                <xdr:colOff>1323975</xdr:colOff>
                <xdr:row>64</xdr:row>
                <xdr:rowOff>38100</xdr:rowOff>
              </from>
              <to>
                <xdr:col>3</xdr:col>
                <xdr:colOff>2066925</xdr:colOff>
                <xdr:row>64</xdr:row>
                <xdr:rowOff>428625</xdr:rowOff>
              </to>
            </anchor>
          </objectPr>
        </oleObject>
      </mc:Choice>
      <mc:Fallback>
        <oleObject shapeId="106548" progId="Equation.KSEE3" r:id="rId10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H219"/>
  <sheetViews>
    <sheetView tabSelected="1" zoomScale="70" zoomScaleNormal="70" zoomScaleSheetLayoutView="85" topLeftCell="A43" workbookViewId="0">
      <selection activeCell="E54" sqref="E54"/>
    </sheetView>
  </sheetViews>
  <sheetFormatPr defaultColWidth="9" defaultRowHeight="35.1" customHeight="1" outlineLevelCol="7"/>
  <cols>
    <col min="1" max="1" width="11" style="94" customWidth="1"/>
    <col min="2" max="2" width="13.625" style="92" customWidth="1"/>
    <col min="3" max="3" width="55.625" style="95" customWidth="1"/>
    <col min="4" max="4" width="87.125" style="96" customWidth="1"/>
    <col min="5" max="5" width="88.4166666666667" style="97" customWidth="1"/>
    <col min="6" max="6" width="14.875" style="63"/>
    <col min="7" max="16384" width="9" style="63"/>
  </cols>
  <sheetData>
    <row r="1" customHeight="1" spans="1:5">
      <c r="A1" s="98" t="s">
        <v>368</v>
      </c>
      <c r="B1" s="59" t="s">
        <v>0</v>
      </c>
      <c r="C1" s="59" t="s">
        <v>1</v>
      </c>
      <c r="D1" s="61" t="s">
        <v>4</v>
      </c>
    </row>
    <row r="2" customHeight="1" spans="1:5">
      <c r="A2" s="99"/>
      <c r="B2" s="100" t="s">
        <v>207</v>
      </c>
      <c r="C2" s="100"/>
      <c r="D2" s="100"/>
    </row>
    <row r="3" customHeight="1" spans="1:5">
      <c r="A3" s="99">
        <v>1200001</v>
      </c>
      <c r="B3" s="81" t="s">
        <v>93</v>
      </c>
      <c r="C3" s="101" t="s">
        <v>208</v>
      </c>
      <c r="D3" s="102"/>
      <c r="E3" s="97" t="s">
        <v>209</v>
      </c>
    </row>
    <row r="4" customHeight="1" spans="1:5">
      <c r="A4" s="99">
        <v>1200002</v>
      </c>
      <c r="B4" s="81" t="s">
        <v>210</v>
      </c>
      <c r="C4" s="101" t="s">
        <v>211</v>
      </c>
      <c r="D4" s="102"/>
    </row>
    <row r="5" customHeight="1" spans="1:5">
      <c r="A5" s="99">
        <v>1200003</v>
      </c>
      <c r="B5" s="103" t="s">
        <v>212</v>
      </c>
      <c r="C5" s="101" t="s">
        <v>213</v>
      </c>
      <c r="D5" s="104"/>
    </row>
    <row r="6" customHeight="1" spans="1:5">
      <c r="A6" s="99">
        <v>1200004</v>
      </c>
      <c r="B6" s="103" t="s">
        <v>96</v>
      </c>
      <c r="C6" s="101" t="s">
        <v>214</v>
      </c>
      <c r="D6" s="104"/>
    </row>
    <row r="7" customHeight="1" spans="1:5">
      <c r="A7" s="99">
        <v>1200005</v>
      </c>
      <c r="B7" s="103" t="s">
        <v>215</v>
      </c>
      <c r="C7" s="101" t="s">
        <v>216</v>
      </c>
      <c r="D7" s="104"/>
    </row>
    <row r="8" customHeight="1" spans="1:5">
      <c r="A8" s="99">
        <v>1200006</v>
      </c>
      <c r="B8" s="103" t="s">
        <v>217</v>
      </c>
      <c r="C8" s="101" t="s">
        <v>218</v>
      </c>
      <c r="D8" s="104"/>
    </row>
    <row r="9" customHeight="1" spans="1:5">
      <c r="A9" s="99"/>
      <c r="B9" s="105" t="s">
        <v>5</v>
      </c>
      <c r="C9" s="105"/>
      <c r="D9" s="106"/>
    </row>
    <row r="10" customHeight="1" spans="1:5">
      <c r="A10" s="99">
        <v>1200007</v>
      </c>
      <c r="B10" s="107"/>
      <c r="C10" s="107" t="s">
        <v>219</v>
      </c>
      <c r="D10" s="104" t="s">
        <v>197</v>
      </c>
    </row>
    <row r="11" customHeight="1" spans="1:5">
      <c r="A11" s="99">
        <v>1000007</v>
      </c>
      <c r="B11" s="81" t="s">
        <v>6</v>
      </c>
      <c r="C11" s="101" t="s">
        <v>7</v>
      </c>
      <c r="D11" s="102">
        <v>50</v>
      </c>
      <c r="E11" s="97" t="s">
        <v>221</v>
      </c>
    </row>
    <row r="12" customHeight="1" spans="1:5">
      <c r="A12" s="99">
        <v>1200008</v>
      </c>
      <c r="B12" s="81"/>
      <c r="C12" s="101"/>
      <c r="D12" s="102" t="s">
        <v>8</v>
      </c>
    </row>
    <row r="13" customHeight="1" spans="1:5">
      <c r="A13" s="99">
        <v>1000009</v>
      </c>
      <c r="B13" s="81" t="s">
        <v>10</v>
      </c>
      <c r="C13" s="101" t="s">
        <v>223</v>
      </c>
      <c r="D13" s="102">
        <v>100</v>
      </c>
    </row>
    <row r="14" customHeight="1" spans="1:5">
      <c r="A14" s="99">
        <v>1200010</v>
      </c>
      <c r="B14" s="81"/>
      <c r="C14" s="101"/>
      <c r="D14" s="61" t="s">
        <v>12</v>
      </c>
    </row>
    <row r="15" customHeight="1" spans="1:5">
      <c r="A15" s="99">
        <v>1000011</v>
      </c>
      <c r="B15" s="81"/>
      <c r="C15" s="101" t="s">
        <v>224</v>
      </c>
      <c r="D15" s="102"/>
    </row>
    <row r="16" customHeight="1" spans="1:5">
      <c r="A16" s="99">
        <v>1200012</v>
      </c>
      <c r="B16" s="81"/>
      <c r="C16" s="101"/>
      <c r="D16" s="102" t="s">
        <v>369</v>
      </c>
    </row>
    <row r="17" customHeight="1" spans="1:5">
      <c r="A17" s="99">
        <v>1000013</v>
      </c>
      <c r="B17" s="81" t="s">
        <v>13</v>
      </c>
      <c r="C17" s="101" t="s">
        <v>14</v>
      </c>
      <c r="D17" s="102">
        <v>2</v>
      </c>
    </row>
    <row r="18" customHeight="1" spans="1:5">
      <c r="A18" s="99">
        <v>1200014</v>
      </c>
      <c r="B18" s="81"/>
      <c r="C18" s="101"/>
      <c r="D18" s="102" t="s">
        <v>370</v>
      </c>
    </row>
    <row r="19" customHeight="1" spans="1:5">
      <c r="A19" s="99">
        <v>1000015</v>
      </c>
      <c r="B19" s="81" t="s">
        <v>16</v>
      </c>
      <c r="C19" s="101" t="s">
        <v>17</v>
      </c>
      <c r="D19" s="102">
        <v>0.1</v>
      </c>
    </row>
    <row r="20" customHeight="1" spans="1:5">
      <c r="A20" s="99">
        <v>1200014</v>
      </c>
      <c r="B20" s="81"/>
      <c r="C20" s="101"/>
      <c r="D20" s="81" t="str">
        <f>D18</f>
        <v>MPa(G)</v>
      </c>
    </row>
    <row r="21" customHeight="1" spans="1:5">
      <c r="A21" s="99">
        <v>1000016</v>
      </c>
      <c r="B21" s="81" t="s">
        <v>18</v>
      </c>
      <c r="C21" s="101" t="s">
        <v>19</v>
      </c>
      <c r="D21" s="108">
        <f>D17-D19</f>
        <v>1.9</v>
      </c>
    </row>
    <row r="22" customHeight="1" spans="1:5">
      <c r="A22" s="99">
        <v>1200014</v>
      </c>
      <c r="B22" s="81"/>
      <c r="C22" s="101"/>
      <c r="D22" s="102" t="str">
        <f>D18</f>
        <v>MPa(G)</v>
      </c>
    </row>
    <row r="23" customHeight="1" spans="1:5">
      <c r="A23" s="99">
        <v>1000017</v>
      </c>
      <c r="B23" s="81" t="s">
        <v>225</v>
      </c>
      <c r="C23" s="101" t="s">
        <v>226</v>
      </c>
      <c r="D23" s="102">
        <v>988</v>
      </c>
    </row>
    <row r="24" customHeight="1" spans="1:5">
      <c r="A24" s="99">
        <v>1200018</v>
      </c>
      <c r="B24" s="81"/>
      <c r="C24" s="101"/>
      <c r="D24" s="102" t="s">
        <v>23</v>
      </c>
    </row>
    <row r="25" customHeight="1" spans="1:5">
      <c r="A25" s="99">
        <v>1000019</v>
      </c>
      <c r="B25" s="81"/>
      <c r="C25" s="101" t="s">
        <v>227</v>
      </c>
      <c r="D25" s="102"/>
    </row>
    <row r="26" customHeight="1" spans="1:5">
      <c r="A26" s="99">
        <v>1200018</v>
      </c>
      <c r="B26" s="81"/>
      <c r="C26" s="101"/>
      <c r="D26" s="102" t="s">
        <v>371</v>
      </c>
    </row>
    <row r="27" customHeight="1" spans="1:5">
      <c r="A27" s="99"/>
      <c r="B27" s="81" t="s">
        <v>228</v>
      </c>
      <c r="C27" s="101" t="s">
        <v>25</v>
      </c>
      <c r="D27" s="108">
        <f>IF(OR(D10="液体",D10="两相流(液体+气体)",D10="两相流(液体+蒸汽)"),D192/1000,"")</f>
        <v>0.988</v>
      </c>
    </row>
    <row r="28" customHeight="1" spans="1:5">
      <c r="A28" s="99">
        <v>1000021</v>
      </c>
      <c r="B28" s="81" t="s">
        <v>147</v>
      </c>
      <c r="C28" s="109" t="s">
        <v>229</v>
      </c>
      <c r="D28" s="102"/>
    </row>
    <row r="29" customHeight="1" spans="1:5">
      <c r="A29" s="99">
        <v>1000022</v>
      </c>
      <c r="B29" s="81" t="s">
        <v>166</v>
      </c>
      <c r="C29" s="109" t="s">
        <v>167</v>
      </c>
      <c r="D29" s="102">
        <v>1</v>
      </c>
    </row>
    <row r="30" customHeight="1" spans="1:5">
      <c r="A30" s="99">
        <v>1000023</v>
      </c>
      <c r="B30" s="81" t="s">
        <v>168</v>
      </c>
      <c r="C30" s="109" t="s">
        <v>146</v>
      </c>
      <c r="D30" s="102">
        <v>1.4</v>
      </c>
      <c r="E30" s="97" t="s">
        <v>372</v>
      </c>
    </row>
    <row r="31" customHeight="1" spans="1:5">
      <c r="A31" s="99"/>
      <c r="B31" s="81" t="s">
        <v>232</v>
      </c>
      <c r="C31" s="109" t="s">
        <v>233</v>
      </c>
      <c r="D31" s="102" t="s">
        <v>232</v>
      </c>
    </row>
    <row r="32" customHeight="1" spans="1:5">
      <c r="A32" s="99">
        <v>1000025</v>
      </c>
      <c r="B32" s="81"/>
      <c r="C32" s="101"/>
      <c r="D32" s="102">
        <v>1</v>
      </c>
      <c r="E32" s="97" t="s">
        <v>236</v>
      </c>
    </row>
    <row r="33" customHeight="1" spans="1:5">
      <c r="A33" s="99">
        <v>1200026</v>
      </c>
      <c r="B33" s="81"/>
      <c r="C33" s="101"/>
      <c r="D33" s="102" t="s">
        <v>238</v>
      </c>
    </row>
    <row r="34" customHeight="1" spans="1:5">
      <c r="A34" s="99">
        <v>1200027</v>
      </c>
      <c r="B34" s="81" t="s">
        <v>30</v>
      </c>
      <c r="C34" s="101" t="s">
        <v>31</v>
      </c>
      <c r="D34" s="102">
        <v>22.12</v>
      </c>
      <c r="E34" s="97" t="s">
        <v>373</v>
      </c>
    </row>
    <row r="35" customHeight="1" spans="1:5">
      <c r="A35" s="99"/>
      <c r="B35" s="81" t="s">
        <v>33</v>
      </c>
      <c r="C35" s="101" t="s">
        <v>34</v>
      </c>
      <c r="D35" s="108">
        <f>D200/D34</f>
        <v>94.9367088607595</v>
      </c>
    </row>
    <row r="36" customHeight="1" spans="1:5">
      <c r="A36" s="99">
        <v>1000028</v>
      </c>
      <c r="B36" s="81" t="s">
        <v>36</v>
      </c>
      <c r="C36" s="101" t="s">
        <v>37</v>
      </c>
      <c r="D36" s="110">
        <f>IF(D18="MPa(G)",(D209-100)/1000,IF(D18="MPa(A)",D209/1000,IF(D18="KPa(G)",D209-100,IF(D18="KPa(A)",D209,IF(D18="bar(G)",(D209-100)/100,IF(D18="bar(A)",D209/100,))))))</f>
        <v>-0.0876723047396965</v>
      </c>
      <c r="E36" s="97" t="s">
        <v>374</v>
      </c>
    </row>
    <row r="37" customHeight="1" spans="1:5">
      <c r="A37" s="99"/>
      <c r="B37" s="81" t="s">
        <v>38</v>
      </c>
      <c r="C37" s="101" t="s">
        <v>39</v>
      </c>
      <c r="D37" s="61">
        <f>IF(D12="℃",D211+273.15,IF(D12="K",D211,IF(D12="F",D211+273.15)))</f>
        <v>323.15</v>
      </c>
    </row>
    <row r="38" customHeight="1" spans="1:5">
      <c r="A38" s="99">
        <v>1200029</v>
      </c>
      <c r="B38" s="103" t="s">
        <v>205</v>
      </c>
      <c r="C38" s="107" t="s">
        <v>239</v>
      </c>
      <c r="D38" s="111">
        <f>D210</f>
        <v>214.752487215033</v>
      </c>
      <c r="E38" s="97" t="s">
        <v>374</v>
      </c>
    </row>
    <row r="39" customHeight="1" spans="1:5">
      <c r="A39" s="99"/>
      <c r="B39" s="105" t="s">
        <v>240</v>
      </c>
      <c r="C39" s="105"/>
      <c r="D39" s="105"/>
    </row>
    <row r="40" customHeight="1" spans="1:5">
      <c r="A40" s="99">
        <v>1200030</v>
      </c>
      <c r="B40" s="103" t="s">
        <v>245</v>
      </c>
      <c r="C40" s="107" t="s">
        <v>375</v>
      </c>
      <c r="D40" s="104">
        <v>150</v>
      </c>
    </row>
    <row r="41" customHeight="1" spans="1:5">
      <c r="A41" s="99">
        <v>1200031</v>
      </c>
      <c r="B41" s="103" t="s">
        <v>376</v>
      </c>
      <c r="C41" s="107" t="s">
        <v>258</v>
      </c>
      <c r="D41" s="104">
        <v>150</v>
      </c>
    </row>
    <row r="42" customHeight="1" spans="1:5">
      <c r="A42" s="99">
        <v>1200032</v>
      </c>
      <c r="B42" s="103" t="s">
        <v>68</v>
      </c>
      <c r="C42" s="107" t="s">
        <v>250</v>
      </c>
      <c r="D42" s="104">
        <v>0.9</v>
      </c>
      <c r="E42" s="97" t="s">
        <v>251</v>
      </c>
    </row>
    <row r="43" customHeight="1" spans="1:5">
      <c r="A43" s="99">
        <v>1200033</v>
      </c>
      <c r="B43" s="103" t="s">
        <v>252</v>
      </c>
      <c r="C43" s="107" t="s">
        <v>253</v>
      </c>
      <c r="D43" s="103">
        <v>0.72</v>
      </c>
      <c r="E43" s="97" t="s">
        <v>255</v>
      </c>
    </row>
    <row r="44" customHeight="1" spans="1:5">
      <c r="A44" s="99">
        <v>1200034</v>
      </c>
      <c r="B44" s="103" t="s">
        <v>108</v>
      </c>
      <c r="C44" s="107" t="s">
        <v>109</v>
      </c>
      <c r="D44" s="103">
        <v>0.42</v>
      </c>
      <c r="E44" s="97" t="s">
        <v>377</v>
      </c>
    </row>
    <row r="45" customHeight="1" spans="1:5">
      <c r="A45" s="99">
        <v>1200035</v>
      </c>
      <c r="B45" s="103"/>
      <c r="C45" s="107" t="s">
        <v>256</v>
      </c>
      <c r="D45" s="104" t="s">
        <v>257</v>
      </c>
    </row>
    <row r="46" customHeight="1" spans="1:5">
      <c r="A46" s="99">
        <v>1200036</v>
      </c>
      <c r="B46" s="103" t="s">
        <v>88</v>
      </c>
      <c r="C46" s="107" t="s">
        <v>259</v>
      </c>
      <c r="D46" s="104">
        <v>50</v>
      </c>
      <c r="E46" s="97" t="s">
        <v>378</v>
      </c>
    </row>
    <row r="47" customHeight="1" spans="1:5">
      <c r="A47" s="99">
        <v>9000097</v>
      </c>
      <c r="B47" s="112" t="s">
        <v>91</v>
      </c>
      <c r="C47" s="107" t="s">
        <v>379</v>
      </c>
      <c r="D47" s="113" t="s">
        <v>92</v>
      </c>
    </row>
    <row r="48" customHeight="1" spans="1:5">
      <c r="A48" s="99">
        <v>1200037</v>
      </c>
      <c r="B48" s="114"/>
      <c r="C48" s="107" t="s">
        <v>380</v>
      </c>
      <c r="D48" s="81">
        <v>400</v>
      </c>
    </row>
    <row r="49" customHeight="1" spans="1:6">
      <c r="A49" s="99"/>
      <c r="B49" s="114"/>
      <c r="C49" s="107" t="s">
        <v>381</v>
      </c>
      <c r="D49" s="113">
        <f>IF(D47="额定Kv",D48,D48/1.156)</f>
        <v>400</v>
      </c>
      <c r="E49" s="97" t="s">
        <v>382</v>
      </c>
    </row>
    <row r="50" customHeight="1" spans="1:6">
      <c r="A50" s="99"/>
      <c r="B50" s="105" t="s">
        <v>261</v>
      </c>
      <c r="C50" s="105"/>
      <c r="D50" s="105"/>
      <c r="E50" s="115"/>
    </row>
    <row r="51" customHeight="1" spans="1:6">
      <c r="A51" s="99">
        <v>1000038</v>
      </c>
      <c r="B51" s="116"/>
      <c r="C51" s="107" t="s">
        <v>66</v>
      </c>
      <c r="D51" s="117" t="str">
        <f>IFERROR(IF(AND(OR(D10="气体",D10="蒸汽"),D116="N"),D80,IF(AND(OR(D10="气体",D10="蒸汽"),D116="y"),D81,IF(AND(D10="液体",D211&lt;D210),液体噪音计算!E3,""))),"")</f>
        <v>空化</v>
      </c>
    </row>
    <row r="52" customHeight="1" spans="1:6">
      <c r="A52" s="99"/>
      <c r="B52" s="112" t="s">
        <v>263</v>
      </c>
      <c r="C52" s="107" t="s">
        <v>263</v>
      </c>
      <c r="D52" s="117">
        <f>IFERROR(D66,"")</f>
        <v>24.1682408468747</v>
      </c>
      <c r="E52" s="97">
        <f>D52*1.156</f>
        <v>27.9384864189871</v>
      </c>
    </row>
    <row r="53" customHeight="1" spans="1:6">
      <c r="A53" s="99">
        <v>1000039</v>
      </c>
      <c r="B53" s="118"/>
      <c r="C53" s="107" t="s">
        <v>383</v>
      </c>
      <c r="D53" s="117">
        <f>IF(D47="额定Kv",D52,D52*1.156)</f>
        <v>24.1682408468747</v>
      </c>
    </row>
    <row r="54" customHeight="1" spans="1:6">
      <c r="A54" s="99">
        <v>1000040</v>
      </c>
      <c r="B54" s="103" t="s">
        <v>264</v>
      </c>
      <c r="C54" s="107" t="s">
        <v>265</v>
      </c>
      <c r="D54" s="117">
        <f>IFERROR(IF(D45="等百分比",D89,IF(D45="线性",D90,IF(D45="快开",D91,))),"")</f>
        <v>28.261537990665</v>
      </c>
    </row>
    <row r="55" customHeight="1" spans="1:6">
      <c r="A55" s="99">
        <v>1000041</v>
      </c>
      <c r="B55" s="103" t="s">
        <v>60</v>
      </c>
      <c r="C55" s="119" t="s">
        <v>281</v>
      </c>
      <c r="D55" s="117">
        <f>IFERROR(IF(D10="液体",D181/0.785/3600/D117^2*1000000,IF(D10="气体",D185/0.785/3600/D117^2*1000000,IF(D10="蒸汽",D188/0.785/3600/D117^2*1000000,IF(D10="两相流(液体+气体)",(D181++D190)/0.785/3600/D117^2*1000000,IF(D10="两相流(液体+蒸汽)",(D181++D188)/0.785/3600/D117^2*1000000,""))))),"")</f>
        <v>1.57269796335614</v>
      </c>
    </row>
    <row r="56" customHeight="1" spans="1:6">
      <c r="A56" s="99">
        <v>1000042</v>
      </c>
      <c r="B56" s="103" t="s">
        <v>65</v>
      </c>
      <c r="C56" s="107" t="s">
        <v>64</v>
      </c>
      <c r="D56" s="117">
        <f>IFERROR(IF(OR(D10="气体",D10="蒸汽"),气体噪音计算!E2,IF(AND(D10="液体",D211&lt;D210),液体噪音计算!E2,"")),"")</f>
        <v>62.9379605683198</v>
      </c>
    </row>
    <row r="57" customHeight="1" spans="1:6">
      <c r="A57" s="99">
        <v>1200043</v>
      </c>
      <c r="B57" s="116" t="s">
        <v>123</v>
      </c>
      <c r="C57" s="107" t="s">
        <v>268</v>
      </c>
      <c r="D57" s="117">
        <f>IFERROR((0.0504*0.785*D40*D40/D49)^2,"")</f>
        <v>4.952738975625</v>
      </c>
      <c r="E57" s="97">
        <f>1/2*D198*D55*D55*D57</f>
        <v>6051.5</v>
      </c>
      <c r="F57" s="63" t="s">
        <v>15</v>
      </c>
    </row>
    <row r="58" customHeight="1" spans="1:6">
      <c r="A58" s="99"/>
      <c r="B58" s="120" t="s">
        <v>44</v>
      </c>
      <c r="C58" s="120"/>
      <c r="D58" s="120"/>
    </row>
    <row r="59" customHeight="1" spans="1:6">
      <c r="A59" s="99"/>
      <c r="B59" s="103" t="s">
        <v>269</v>
      </c>
      <c r="C59" s="121" t="s">
        <v>270</v>
      </c>
      <c r="D59" s="108">
        <f>IF(OR(D10="液体",D10="两相流(液体+气体)",D10="两相流(液体+蒸汽)"),D181/D161*SQRT(D27/D202),"")</f>
        <v>22.8035085019828</v>
      </c>
      <c r="E59" s="97">
        <f t="shared" ref="E59:E64" si="0">D59*1.156</f>
        <v>26.3608558282921</v>
      </c>
    </row>
    <row r="60" customHeight="1" spans="1:6">
      <c r="A60" s="99"/>
      <c r="B60" s="104" t="s">
        <v>271</v>
      </c>
      <c r="C60" s="121" t="s">
        <v>272</v>
      </c>
      <c r="D60" s="108">
        <f>IF(OR(D10="液体",D10="两相流(液体+气体)",D10="两相流(液体+蒸汽)"),D181/D161/D86*SQRT(D27/D202),"")</f>
        <v>22.8035085019828</v>
      </c>
      <c r="E60" s="97">
        <f t="shared" si="0"/>
        <v>26.3608558282921</v>
      </c>
    </row>
    <row r="61" customHeight="1" spans="1:6">
      <c r="A61" s="99"/>
      <c r="B61" s="122" t="s">
        <v>273</v>
      </c>
      <c r="C61" s="123" t="s">
        <v>274</v>
      </c>
      <c r="D61" s="108">
        <f>IF(OR(D10="液体",D10="两相流(液体+气体)",D10="两相流(液体+蒸汽)"),D181/D161/D85*SQRT(D27/(D200-D88*D209)),"")</f>
        <v>24.1682408468747</v>
      </c>
      <c r="E61" s="97">
        <f t="shared" si="0"/>
        <v>27.9384864189871</v>
      </c>
    </row>
    <row r="62" customHeight="1" spans="1:6">
      <c r="A62" s="99"/>
      <c r="B62" s="81" t="s">
        <v>275</v>
      </c>
      <c r="C62" s="121" t="s">
        <v>276</v>
      </c>
      <c r="D62" s="108">
        <f>IF(OR(D10="液体",D10="两相流(液体+气体)",D10="两相流(液体+蒸汽)"),D181/D161/D87*SQRT(D27/(D200-D88*D209)),"")</f>
        <v>24.1682408468747</v>
      </c>
      <c r="E62" s="97">
        <f t="shared" si="0"/>
        <v>27.9384864189871</v>
      </c>
    </row>
    <row r="63" customHeight="1" spans="1:6">
      <c r="A63" s="99"/>
      <c r="B63" s="81" t="s">
        <v>277</v>
      </c>
      <c r="C63" s="101" t="s">
        <v>278</v>
      </c>
      <c r="D63" s="108">
        <f>IF(OR(D10="液体",D10="两相流(液体+气体)",D10="两相流(液体+蒸汽)"),D181/D161/D143*SQRT(D27/D202),"")</f>
        <v>22.8035085019828</v>
      </c>
      <c r="E63" s="97">
        <f t="shared" si="0"/>
        <v>26.3608558282921</v>
      </c>
    </row>
    <row r="64" customHeight="1" spans="1:6">
      <c r="A64" s="99"/>
      <c r="B64" s="81"/>
      <c r="C64" s="101" t="s">
        <v>279</v>
      </c>
      <c r="D64" s="108">
        <f>IF(AND(OR(D10="液体",D10="两相流(液体+蒸汽)",D10="两相流(液体+气体)"),D76="紊流",D72="非阻塞流",D116="N"),D59,IF(AND(OR(D10="液体",D10="两相流(液体+蒸汽)",D10="两相流(液体+气体)"),D116="N",D72="阻塞流"),D61,IF(AND(OR(D10="液体",D10="两相流(液体+蒸汽)",D10="两相流(液体+气体)"),D116="Y",D73="非阻塞流"),D60,IF(AND(OR(D10="液体",D10="两相流(液体+蒸汽)",D10="两相流(液体+气体)"),D116="Y",D73="阻塞流"),D62,IF(AND(OR(D10="液体",D10="两相流(液体+蒸汽)",D10="两相流(液体+气体)"),D76="非紊流"),D63,"")))))</f>
        <v>24.1682408468747</v>
      </c>
      <c r="E64" s="97">
        <f t="shared" si="0"/>
        <v>27.9384864189871</v>
      </c>
    </row>
    <row r="65" customHeight="1" spans="1:6">
      <c r="A65" s="99"/>
      <c r="B65" s="81"/>
      <c r="C65" s="101"/>
      <c r="D65" s="108">
        <f>IF(D76="非紊流",D63,D64)</f>
        <v>24.1682408468747</v>
      </c>
    </row>
    <row r="66" customHeight="1" spans="1:6">
      <c r="A66" s="99"/>
      <c r="B66" s="81" t="s">
        <v>55</v>
      </c>
      <c r="C66" s="101" t="s">
        <v>280</v>
      </c>
      <c r="D66" s="108">
        <f>IF(AND(D10="液体"),D65,IF(AND(D10="气体"),D100,IF(AND(D10="蒸汽"),D108,IF(AND(D10="两相流(液体+气体)"),D114,IF(AND(D10="两相流(液体+蒸汽)"),D114,"")))))</f>
        <v>24.1682408468747</v>
      </c>
    </row>
    <row r="67" customHeight="1" spans="1:6">
      <c r="A67" s="99"/>
      <c r="B67" s="81" t="s">
        <v>57</v>
      </c>
      <c r="C67" s="101" t="s">
        <v>58</v>
      </c>
      <c r="D67" s="108">
        <f>IF(AND(D10="液体",D72="非阻塞流"),D59,IF(AND(D10="液体",D72="阻塞流"),D61,IF(AND(D10="气体",D80="非阻塞流"),D94,IF(AND(D10="气体",D80="阻塞流"),D96,IF(AND(D10="蒸汽"),D102,IF(AND(D10="两相流(液体+气体)"),D114,IF(AND(D10="两相流(液体+蒸汽)"),D114,"")))))))</f>
        <v>24.1682408468747</v>
      </c>
    </row>
    <row r="68" customHeight="1" spans="1:6">
      <c r="A68" s="99"/>
      <c r="B68" s="81" t="s">
        <v>60</v>
      </c>
      <c r="C68" s="101" t="s">
        <v>281</v>
      </c>
      <c r="D68" s="108">
        <f>IF(D10="液体",D181/0.785/D117^2/3600*1000000,IF(D10="气体",D184/0.785/D117^2/3600*1000000,IF(D10="蒸汽",D188/0.785/D117^2/3600*1000000,IF(D10="两相流(液体+气体)",(D181+D190)/0.785/D117^2/3600*1000000,IF(D10="两相流(液体+蒸汽)",(D181+D188)/0.785/D117^2/3600*1000000,"")))))</f>
        <v>1.57269796335614</v>
      </c>
    </row>
    <row r="69" customHeight="1" spans="1:6">
      <c r="A69" s="99"/>
      <c r="B69" s="81"/>
      <c r="C69" s="101"/>
      <c r="D69" s="108">
        <f>IF(D10="液体",D181/0.785/D117^2/3600*1000000,IF(D10="气体",D184/0.785/D117^2/3600*1000000,IF(D10="蒸汽",D188/0.785/D117^2/3600*1000000,IF(D10="两相流(液体+气体)",(D181+D190)/0.785/D117^2/3600*1000000,IF(D10="两相流(液体+蒸汽)",(D181+D188)/0.785/D117^2/3600*1000000,"")))))</f>
        <v>1.57269796335614</v>
      </c>
    </row>
    <row r="70" customHeight="1" spans="1:6">
      <c r="A70" s="99"/>
      <c r="B70" s="81"/>
      <c r="C70" s="101"/>
      <c r="D70" s="108">
        <f>D68/340</f>
        <v>0.00462558224516511</v>
      </c>
    </row>
    <row r="71" customHeight="1" spans="1:6">
      <c r="A71" s="99"/>
      <c r="B71" s="100" t="s">
        <v>66</v>
      </c>
      <c r="C71" s="100"/>
      <c r="D71" s="100"/>
    </row>
    <row r="72" customHeight="1" spans="1:6">
      <c r="A72" s="99"/>
      <c r="B72" s="81" t="s">
        <v>197</v>
      </c>
      <c r="C72" s="121" t="s">
        <v>270</v>
      </c>
      <c r="D72" s="108" t="str">
        <f>IF(D202&lt;D85^2*(D200-D88*D209),"非阻塞流","阻塞流")</f>
        <v>阻塞流</v>
      </c>
    </row>
    <row r="73" customHeight="1" spans="1:6">
      <c r="A73" s="99"/>
      <c r="B73" s="81"/>
      <c r="C73" s="121" t="s">
        <v>272</v>
      </c>
      <c r="D73" s="108" t="str">
        <f>IF(D202&lt;(D87/D86)^2*(D200-D88*D209),"非阻塞流","阻塞流")</f>
        <v>阻塞流</v>
      </c>
    </row>
    <row r="74" customHeight="1" spans="1:6">
      <c r="A74" s="99"/>
      <c r="B74" s="81"/>
      <c r="C74" s="123" t="s">
        <v>286</v>
      </c>
      <c r="D74" s="108" t="str">
        <f>IF(D202&gt;=D85^2*(D200-D88*D209),"阻塞流","非阻塞流")</f>
        <v>阻塞流</v>
      </c>
    </row>
    <row r="75" customHeight="1" spans="1:6">
      <c r="A75" s="99"/>
      <c r="B75" s="81"/>
      <c r="C75" s="121" t="s">
        <v>276</v>
      </c>
      <c r="D75" s="108" t="str">
        <f>IF(D202&gt;=(D87/D86)^2*(D200-D88*D209),"阻塞流","非阻塞流")</f>
        <v>阻塞流</v>
      </c>
    </row>
    <row r="76" customHeight="1" spans="1:6">
      <c r="A76" s="99"/>
      <c r="B76" s="81"/>
      <c r="C76" s="101" t="s">
        <v>289</v>
      </c>
      <c r="D76" s="108" t="str">
        <f>IF(D145&lt;10000,"非紊流","紊流")</f>
        <v>紊流</v>
      </c>
      <c r="F76" s="63" t="s">
        <v>384</v>
      </c>
    </row>
    <row r="77" ht="38.1" customHeight="1" spans="1:6">
      <c r="A77" s="99"/>
      <c r="B77" s="81" t="s">
        <v>291</v>
      </c>
      <c r="C77" s="101" t="s">
        <v>292</v>
      </c>
      <c r="D77" s="108"/>
    </row>
    <row r="78" ht="42" customHeight="1" spans="1:6">
      <c r="A78" s="99"/>
      <c r="B78" s="81" t="s">
        <v>293</v>
      </c>
      <c r="C78" s="101"/>
      <c r="D78" s="108"/>
    </row>
    <row r="79" customHeight="1" spans="1:6">
      <c r="A79" s="99"/>
      <c r="B79" s="81"/>
      <c r="C79" s="101"/>
      <c r="D79" s="108"/>
    </row>
    <row r="80" customHeight="1" spans="1:6">
      <c r="A80" s="99"/>
      <c r="B80" s="81" t="s">
        <v>294</v>
      </c>
      <c r="C80" s="101" t="s">
        <v>295</v>
      </c>
      <c r="D80" s="108" t="str">
        <f>IF(D154&lt;D152*D155,"非阻塞流","阻塞流")</f>
        <v>阻塞流</v>
      </c>
    </row>
    <row r="81" customHeight="1" spans="1:4">
      <c r="A81" s="99"/>
      <c r="B81" s="81"/>
      <c r="C81" s="101" t="s">
        <v>297</v>
      </c>
      <c r="D81" s="108" t="str">
        <f>IF(D154&lt;D152*D156,"非阻塞流","阻塞流")</f>
        <v>阻塞流</v>
      </c>
    </row>
    <row r="82" customHeight="1" spans="1:4">
      <c r="A82" s="99"/>
      <c r="B82" s="81"/>
      <c r="C82" s="101" t="s">
        <v>299</v>
      </c>
      <c r="D82" s="108" t="str">
        <f>IF(D154&gt;=D152*D155,"阻塞流","非阻塞流")</f>
        <v>阻塞流</v>
      </c>
    </row>
    <row r="83" customHeight="1" spans="1:4">
      <c r="A83" s="99"/>
      <c r="B83" s="81"/>
      <c r="C83" s="101" t="s">
        <v>301</v>
      </c>
      <c r="D83" s="108" t="str">
        <f>IF(D154&gt;=D152*D156,"阻塞流","非阻塞流")</f>
        <v>阻塞流</v>
      </c>
    </row>
    <row r="84" customHeight="1" spans="1:4">
      <c r="A84" s="99"/>
      <c r="B84" s="81"/>
      <c r="C84" s="101" t="s">
        <v>54</v>
      </c>
      <c r="D84" s="108" t="str">
        <f>IF(D145&lt;10000,"非紊流","紊流")</f>
        <v>紊流</v>
      </c>
    </row>
    <row r="85" customHeight="1" spans="1:4">
      <c r="A85" s="99"/>
      <c r="B85" s="81" t="s">
        <v>68</v>
      </c>
      <c r="C85" s="101" t="s">
        <v>69</v>
      </c>
      <c r="D85" s="108">
        <f>D42</f>
        <v>0.9</v>
      </c>
    </row>
    <row r="86" ht="60" customHeight="1" spans="1:4">
      <c r="A86" s="99"/>
      <c r="B86" s="81" t="s">
        <v>70</v>
      </c>
      <c r="C86" s="101" t="s">
        <v>71</v>
      </c>
      <c r="D86" s="108">
        <f>1/SQRT(1+D138/D162*(D67/D117^2)^2)</f>
        <v>1</v>
      </c>
    </row>
    <row r="87" ht="63" customHeight="1" spans="1:4">
      <c r="A87" s="99"/>
      <c r="B87" s="81" t="s">
        <v>72</v>
      </c>
      <c r="C87" s="109" t="s">
        <v>73</v>
      </c>
      <c r="D87" s="108">
        <f>D85/SQRT(1+D85^2/D162*D138*(D67/D117^2)^2)</f>
        <v>0.9</v>
      </c>
    </row>
    <row r="88" ht="45.95" customHeight="1" spans="1:4">
      <c r="A88" s="99"/>
      <c r="B88" s="81" t="s">
        <v>74</v>
      </c>
      <c r="C88" s="101" t="s">
        <v>75</v>
      </c>
      <c r="D88" s="108">
        <f>0.96-0.28*SQRT(D209/(D34*1000))</f>
        <v>0.953389924574929</v>
      </c>
    </row>
    <row r="89" ht="36.95" customHeight="1" spans="1:4">
      <c r="A89" s="99"/>
      <c r="B89" s="81" t="s">
        <v>76</v>
      </c>
      <c r="C89" s="101" t="s">
        <v>77</v>
      </c>
      <c r="D89" s="108">
        <f>IFERROR((1-LOG10(D92)/LOG10(D120))*100,"")</f>
        <v>28.261537990665</v>
      </c>
    </row>
    <row r="90" ht="41.1" customHeight="1" spans="1:4">
      <c r="A90" s="99"/>
      <c r="B90" s="81"/>
      <c r="C90" s="101" t="s">
        <v>79</v>
      </c>
      <c r="D90" s="108" t="str">
        <f>IFERROR((D121-D92)/((D121-1)*D92)*100,"")</f>
        <v/>
      </c>
    </row>
    <row r="91" ht="39.95" customHeight="1" spans="1:4">
      <c r="A91" s="99"/>
      <c r="B91" s="81"/>
      <c r="C91" s="101" t="s">
        <v>80</v>
      </c>
      <c r="D91" s="108" t="str">
        <f>IFERROR((1-SQRT(D121*(D92-1)/((D121-1)*D92)))*100,"")</f>
        <v/>
      </c>
    </row>
    <row r="92" customHeight="1" spans="1:4">
      <c r="A92" s="99"/>
      <c r="B92" s="81"/>
      <c r="C92" s="101" t="s">
        <v>81</v>
      </c>
      <c r="D92" s="108">
        <f>D122/D66</f>
        <v>16.550646053816</v>
      </c>
    </row>
    <row r="93" customHeight="1" spans="1:4">
      <c r="A93" s="99"/>
      <c r="B93" s="100" t="s">
        <v>303</v>
      </c>
      <c r="C93" s="100"/>
      <c r="D93" s="124"/>
    </row>
    <row r="94" ht="59.1" customHeight="1" spans="1:4">
      <c r="A94" s="99"/>
      <c r="B94" s="81" t="s">
        <v>304</v>
      </c>
      <c r="C94" s="101" t="s">
        <v>295</v>
      </c>
      <c r="D94" s="108" t="str">
        <f>IF(D10="气体",D183/(D168*D200*D157)*SQRT(22.4*D193*D158*D37/D154),"")</f>
        <v/>
      </c>
    </row>
    <row r="95" ht="57" customHeight="1" spans="1:4">
      <c r="A95" s="99"/>
      <c r="B95" s="81" t="s">
        <v>305</v>
      </c>
      <c r="C95" s="101" t="s">
        <v>306</v>
      </c>
      <c r="D95" s="108" t="str">
        <f>IF(D10="气体",D183/(D168*D86*D157*D200)*SQRT(22.4*D193*D158*D37/D154),"")</f>
        <v/>
      </c>
    </row>
    <row r="96" ht="62.1" customHeight="1" spans="1:4">
      <c r="A96" s="99"/>
      <c r="B96" s="81" t="s">
        <v>307</v>
      </c>
      <c r="C96" s="101" t="s">
        <v>299</v>
      </c>
      <c r="D96" s="108" t="str">
        <f>IF(D10="气体",D183/(0.667*D168*D200)*SQRT(22.4*D193*D158*D37/(D155*D152)),"")</f>
        <v/>
      </c>
    </row>
    <row r="97" ht="60.95" customHeight="1" spans="1:7">
      <c r="A97" s="99"/>
      <c r="B97" s="81" t="s">
        <v>308</v>
      </c>
      <c r="C97" s="101" t="s">
        <v>301</v>
      </c>
      <c r="D97" s="108" t="str">
        <f>IF(D10="气体",D183/(0.667*D168*D200*D86)*SQRT(22.4*D193*D158*D37/(D152*D156)),"")</f>
        <v/>
      </c>
    </row>
    <row r="98" s="92" customFormat="1" ht="60" customHeight="1" spans="1:7">
      <c r="A98" s="98"/>
      <c r="B98" s="81" t="s">
        <v>309</v>
      </c>
      <c r="C98" s="101" t="s">
        <v>278</v>
      </c>
      <c r="D98" s="82" t="str">
        <f>IF(D10="气体",D183/(D173*D143)*SQRT(22.4*D193*D37/(D21*(D200+D201))),"")</f>
        <v/>
      </c>
      <c r="E98" s="97"/>
    </row>
    <row r="99" customHeight="1" spans="1:7">
      <c r="A99" s="99"/>
      <c r="B99" s="125"/>
      <c r="C99" s="101" t="s">
        <v>310</v>
      </c>
      <c r="D99" s="108" t="str">
        <f>IF(AND(D10="气体",D116="N",D80="非阻塞流"),D94,IF(AND(D10="气体",D116="Y",D81="非阻塞流"),D95,IF(AND(D10="气体",D116="N",D82="阻塞流"),D96,IF(AND(D10="气体",D116="Y",D83="阻塞流"),D97,IF(AND(D10="气体",D84="非紊流"),D98,"")))))</f>
        <v/>
      </c>
      <c r="F99" s="63" t="s">
        <v>384</v>
      </c>
    </row>
    <row r="100" customHeight="1" spans="1:7">
      <c r="A100" s="99"/>
      <c r="B100" s="125"/>
      <c r="C100" s="125"/>
      <c r="D100" s="108" t="str">
        <f>IF(D84="非紊流",D98,D99)</f>
        <v/>
      </c>
    </row>
    <row r="101" customHeight="1" spans="1:7">
      <c r="A101" s="99"/>
      <c r="B101" s="100" t="s">
        <v>311</v>
      </c>
      <c r="C101" s="100"/>
      <c r="D101" s="124"/>
    </row>
    <row r="102" ht="56.1" customHeight="1" spans="1:7">
      <c r="A102" s="99"/>
      <c r="B102" s="81" t="s">
        <v>312</v>
      </c>
      <c r="C102" s="101" t="s">
        <v>295</v>
      </c>
      <c r="D102" s="108" t="str">
        <f>IF(OR(D10="蒸汽"),D187/(D165*D157*SQRT(D154*D200*D196)),"")</f>
        <v/>
      </c>
      <c r="E102" s="97" t="e">
        <f>D102*1.156</f>
        <v>#VALUE!</v>
      </c>
    </row>
    <row r="103" ht="54" customHeight="1" spans="1:7">
      <c r="A103" s="99"/>
      <c r="B103" s="81" t="s">
        <v>313</v>
      </c>
      <c r="C103" s="101" t="s">
        <v>297</v>
      </c>
      <c r="D103" s="108" t="str">
        <f>IF(OR(D10="蒸汽"),D187/(D165*D86*D157*SQRT(D154*D200*D196)),"")</f>
        <v/>
      </c>
      <c r="E103" s="97" t="e">
        <f t="shared" ref="E103:E108" si="1">D103*1.156</f>
        <v>#VALUE!</v>
      </c>
    </row>
    <row r="104" ht="59.1" customHeight="1" spans="1:7">
      <c r="A104" s="99"/>
      <c r="B104" s="81" t="s">
        <v>314</v>
      </c>
      <c r="C104" s="101" t="s">
        <v>299</v>
      </c>
      <c r="D104" s="108" t="str">
        <f>IF(OR(D10="蒸汽"),D187/(0.667*D165*SQRT(D152*D155*D200*D196)),"")</f>
        <v/>
      </c>
      <c r="E104" s="97" t="e">
        <f t="shared" si="1"/>
        <v>#VALUE!</v>
      </c>
    </row>
    <row r="105" ht="60.95" customHeight="1" spans="1:7">
      <c r="A105" s="99"/>
      <c r="B105" s="81" t="s">
        <v>315</v>
      </c>
      <c r="C105" s="101" t="s">
        <v>301</v>
      </c>
      <c r="D105" s="108" t="str">
        <f>IF(OR(D10="蒸汽"),D187/(0.667*D86*D165*SQRT(D152*D156*D200*D196)),"")</f>
        <v/>
      </c>
      <c r="E105" s="97" t="e">
        <f t="shared" si="1"/>
        <v>#VALUE!</v>
      </c>
      <c r="G105" s="63" t="s">
        <v>316</v>
      </c>
    </row>
    <row r="106" ht="63.95" customHeight="1" spans="1:7">
      <c r="A106" s="99"/>
      <c r="B106" s="81" t="s">
        <v>317</v>
      </c>
      <c r="C106" s="101" t="s">
        <v>278</v>
      </c>
      <c r="D106" s="108" t="str">
        <f>IF(OR(D10="蒸汽"),D187/(D175*D143)*SQRT(D37/(D202*(D200+D201)*18.01)),"")</f>
        <v/>
      </c>
      <c r="E106" s="97" t="e">
        <f t="shared" si="1"/>
        <v>#VALUE!</v>
      </c>
    </row>
    <row r="107" customHeight="1" spans="1:7">
      <c r="A107" s="99"/>
      <c r="B107" s="125"/>
      <c r="C107" s="101" t="s">
        <v>318</v>
      </c>
      <c r="D107" s="108" t="str">
        <f>IF(AND(D10="蒸汽",D116="N",D80="非阻塞流"),D102,IF(AND(D10="蒸汽",D116="Y",D81="非阻塞流"),D103,IF(AND(D10="蒸汽",D116="N",D82="阻塞流"),D104,IF(AND(D10="蒸汽",D116="Y",D83="阻塞流"),D105,IF(AND(D10="蒸汽",D84="非紊流"),D106,"")))))</f>
        <v/>
      </c>
      <c r="E107" s="97" t="e">
        <f t="shared" si="1"/>
        <v>#VALUE!</v>
      </c>
      <c r="F107" s="63" t="s">
        <v>384</v>
      </c>
    </row>
    <row r="108" customHeight="1" spans="1:7">
      <c r="A108" s="99"/>
      <c r="B108" s="125"/>
      <c r="C108" s="125"/>
      <c r="D108" s="108" t="str">
        <f>IF(D84="非紊流",D106,D107)</f>
        <v/>
      </c>
      <c r="E108" s="97" t="e">
        <f t="shared" si="1"/>
        <v>#VALUE!</v>
      </c>
    </row>
    <row r="109" customHeight="1" spans="1:7">
      <c r="A109" s="99"/>
      <c r="B109" s="100" t="s">
        <v>319</v>
      </c>
      <c r="C109" s="100"/>
      <c r="D109" s="124"/>
    </row>
    <row r="110" ht="54.95" customHeight="1" spans="1:7">
      <c r="A110" s="99"/>
      <c r="B110" s="81" t="s">
        <v>320</v>
      </c>
      <c r="C110" s="101" t="s">
        <v>321</v>
      </c>
      <c r="D110" s="108" t="str">
        <f>IF(OR(D10="两相流(液体+气体)"),(D182+D189)/(3.16*SQRT(D202*D111)),"")</f>
        <v/>
      </c>
    </row>
    <row r="111" ht="69" customHeight="1" spans="1:7">
      <c r="A111" s="99"/>
      <c r="B111" s="81" t="s">
        <v>322</v>
      </c>
      <c r="C111" s="101" t="s">
        <v>323</v>
      </c>
      <c r="D111" s="108" t="str">
        <f>IF(OR(D10="两相流(液体+气体)"),(D182+D189)/(D182/D192/1000+D189/D197/D157^2),"")</f>
        <v/>
      </c>
    </row>
    <row r="112" ht="71.1" customHeight="1" spans="1:7">
      <c r="A112" s="99"/>
      <c r="B112" s="81" t="s">
        <v>324</v>
      </c>
      <c r="C112" s="101" t="s">
        <v>325</v>
      </c>
      <c r="D112" s="108" t="str">
        <f>IF(OR(D10="两相流(液体+蒸汽)"),(D182+D187)/(3.16*D85*SQRT(D200*D113*(1-D88))),"")</f>
        <v/>
      </c>
    </row>
    <row r="113" ht="69.95" customHeight="1" spans="1:4">
      <c r="A113" s="99"/>
      <c r="B113" s="81" t="s">
        <v>326</v>
      </c>
      <c r="C113" s="101" t="s">
        <v>323</v>
      </c>
      <c r="D113" s="108" t="str">
        <f>IF(OR(D10="两相流(液体+蒸汽)"),(D182+D187)/(D182/D192/1000+D187/D196),"")</f>
        <v/>
      </c>
    </row>
    <row r="114" customHeight="1" spans="1:4">
      <c r="A114" s="99"/>
      <c r="B114" s="125"/>
      <c r="C114" s="101" t="s">
        <v>327</v>
      </c>
      <c r="D114" s="108" t="str">
        <f>IF(D10="两相流(液体+气体)",D110,IF(D10="两相流(液体+蒸汽)",D112,""))</f>
        <v/>
      </c>
    </row>
    <row r="115" customHeight="1" spans="1:4">
      <c r="A115" s="99"/>
      <c r="B115" s="100" t="s">
        <v>82</v>
      </c>
      <c r="C115" s="100"/>
      <c r="D115" s="124"/>
    </row>
    <row r="116" customHeight="1" spans="1:4">
      <c r="A116" s="99"/>
      <c r="B116" s="101"/>
      <c r="C116" s="101" t="s">
        <v>328</v>
      </c>
      <c r="D116" s="108" t="str">
        <f>IF(OR(D3="",D6=""),"N",IF(AND(D3=D40,D6=D40),"N","Y"))</f>
        <v>N</v>
      </c>
    </row>
    <row r="117" customHeight="1" spans="1:4">
      <c r="A117" s="99"/>
      <c r="B117" s="81" t="s">
        <v>83</v>
      </c>
      <c r="C117" s="101" t="s">
        <v>84</v>
      </c>
      <c r="D117" s="108">
        <f>D40</f>
        <v>150</v>
      </c>
    </row>
    <row r="118" customHeight="1" spans="1:4">
      <c r="A118" s="99"/>
      <c r="B118" s="81" t="s">
        <v>329</v>
      </c>
      <c r="C118" s="101" t="s">
        <v>330</v>
      </c>
      <c r="D118" s="108">
        <f>IF(D41="",D117,D41)</f>
        <v>150</v>
      </c>
    </row>
    <row r="119" customHeight="1" spans="1:4">
      <c r="A119" s="99"/>
      <c r="B119" s="81" t="s">
        <v>86</v>
      </c>
      <c r="C119" s="101" t="s">
        <v>87</v>
      </c>
      <c r="D119" s="108">
        <f>D125</f>
        <v>150</v>
      </c>
    </row>
    <row r="120" customHeight="1" spans="1:4">
      <c r="A120" s="99"/>
      <c r="B120" s="81" t="s">
        <v>88</v>
      </c>
      <c r="C120" s="101" t="s">
        <v>89</v>
      </c>
      <c r="D120" s="108">
        <f>IF(D45="等百分比",D46)</f>
        <v>50</v>
      </c>
    </row>
    <row r="121" customHeight="1" spans="1:4">
      <c r="A121" s="99"/>
      <c r="B121" s="81"/>
      <c r="C121" s="101" t="s">
        <v>90</v>
      </c>
      <c r="D121" s="108" t="str">
        <f>IF(OR(D45="快开",D45="线性"),D46,"")</f>
        <v/>
      </c>
    </row>
    <row r="122" customHeight="1" spans="1:4">
      <c r="A122" s="99"/>
      <c r="B122" s="81" t="s">
        <v>91</v>
      </c>
      <c r="C122" s="101" t="s">
        <v>92</v>
      </c>
      <c r="D122" s="108">
        <f>D49</f>
        <v>400</v>
      </c>
    </row>
    <row r="123" customHeight="1" spans="1:4">
      <c r="A123" s="99"/>
      <c r="B123" s="81" t="s">
        <v>245</v>
      </c>
      <c r="C123" s="81" t="s">
        <v>331</v>
      </c>
      <c r="D123" s="108">
        <f>D3</f>
        <v>0</v>
      </c>
    </row>
    <row r="124" customHeight="1" spans="1:4">
      <c r="A124" s="99"/>
      <c r="B124" s="81"/>
      <c r="C124" s="81"/>
      <c r="D124" s="108">
        <f>D6</f>
        <v>0</v>
      </c>
    </row>
    <row r="125" customHeight="1" spans="1:4">
      <c r="A125" s="99"/>
      <c r="B125" s="81" t="s">
        <v>93</v>
      </c>
      <c r="C125" s="101" t="s">
        <v>94</v>
      </c>
      <c r="D125" s="108">
        <f>IF(OR(D4="",D5=""),D40,D127-D129*2)</f>
        <v>150</v>
      </c>
    </row>
    <row r="126" customHeight="1" spans="1:4">
      <c r="A126" s="99"/>
      <c r="B126" s="81" t="s">
        <v>96</v>
      </c>
      <c r="C126" s="101" t="s">
        <v>97</v>
      </c>
      <c r="D126" s="108">
        <f>IF(OR(D7="",D8=""),D40,D128-D130*2)</f>
        <v>150</v>
      </c>
    </row>
    <row r="127" customHeight="1" spans="1:4">
      <c r="A127" s="99"/>
      <c r="B127" s="81" t="s">
        <v>99</v>
      </c>
      <c r="C127" s="101" t="s">
        <v>100</v>
      </c>
      <c r="D127" s="108">
        <f>IF(D4="",VLOOKUP(D117,管道规格表!B4:V39,2,FALSE),D4)</f>
        <v>168.3</v>
      </c>
    </row>
    <row r="128" customHeight="1" spans="1:4">
      <c r="A128" s="99"/>
      <c r="B128" s="81" t="s">
        <v>101</v>
      </c>
      <c r="C128" s="101" t="s">
        <v>102</v>
      </c>
      <c r="D128" s="108">
        <f>IF(D7="",VLOOKUP(D117,管道规格表!B4:V39,2,FALSE),D7)</f>
        <v>168.3</v>
      </c>
    </row>
    <row r="129" customHeight="1" spans="1:5">
      <c r="A129" s="99"/>
      <c r="B129" s="81" t="s">
        <v>103</v>
      </c>
      <c r="C129" s="101" t="s">
        <v>104</v>
      </c>
      <c r="D129" s="108">
        <f>IF(D5="",VLOOKUP(D117,管道规格表!B4:V39,14,FALSE),D5)</f>
        <v>7.11</v>
      </c>
    </row>
    <row r="130" customHeight="1" spans="1:5">
      <c r="A130" s="99"/>
      <c r="B130" s="81" t="s">
        <v>105</v>
      </c>
      <c r="C130" s="101" t="s">
        <v>104</v>
      </c>
      <c r="D130" s="108">
        <f>IF(D8="",VLOOKUP(D117,管道规格表!B4:V39,14,FALSE),D8)</f>
        <v>7.11</v>
      </c>
    </row>
    <row r="131" customHeight="1" spans="1:5">
      <c r="A131" s="99"/>
      <c r="B131" s="81" t="s">
        <v>106</v>
      </c>
      <c r="C131" s="101" t="s">
        <v>107</v>
      </c>
      <c r="D131" s="108">
        <f>D118</f>
        <v>150</v>
      </c>
    </row>
    <row r="132" ht="63" customHeight="1" spans="1:5">
      <c r="A132" s="99"/>
      <c r="B132" s="81" t="s">
        <v>108</v>
      </c>
      <c r="C132" s="101" t="s">
        <v>109</v>
      </c>
      <c r="D132" s="108">
        <f>D44</f>
        <v>0.42</v>
      </c>
      <c r="E132" s="97" t="s">
        <v>334</v>
      </c>
    </row>
    <row r="133" ht="51.95" customHeight="1" spans="1:5">
      <c r="A133" s="99"/>
      <c r="B133" s="81" t="s">
        <v>108</v>
      </c>
      <c r="C133" s="101"/>
      <c r="D133" s="108">
        <f>D134/D135</f>
        <v>0.155362329021281</v>
      </c>
    </row>
    <row r="134" ht="57" customHeight="1" spans="1:5">
      <c r="A134" s="99"/>
      <c r="B134" s="126" t="s">
        <v>115</v>
      </c>
      <c r="C134" s="101" t="s">
        <v>116</v>
      </c>
      <c r="D134" s="108">
        <f>4*D136/D137</f>
        <v>3.62061799183753</v>
      </c>
    </row>
    <row r="135" ht="56.1" customHeight="1" spans="1:5">
      <c r="A135" s="99"/>
      <c r="B135" s="81" t="s">
        <v>117</v>
      </c>
      <c r="C135" s="101" t="s">
        <v>118</v>
      </c>
      <c r="D135" s="108">
        <f>SQRT(4*D136/3.14)</f>
        <v>23.3043493531922</v>
      </c>
    </row>
    <row r="136" ht="47.1" customHeight="1" spans="1:5">
      <c r="A136" s="99"/>
      <c r="B136" s="81" t="s">
        <v>119</v>
      </c>
      <c r="C136" s="101" t="s">
        <v>120</v>
      </c>
      <c r="D136" s="108">
        <f>D177*D66*D85</f>
        <v>426.327768538869</v>
      </c>
    </row>
    <row r="137" ht="47.1" customHeight="1" spans="1:5">
      <c r="A137" s="99"/>
      <c r="B137" s="127" t="s">
        <v>121</v>
      </c>
      <c r="C137" s="128" t="s">
        <v>122</v>
      </c>
      <c r="D137" s="108">
        <f>3.14*D131</f>
        <v>471</v>
      </c>
    </row>
    <row r="138" customHeight="1" spans="1:5">
      <c r="A138" s="99"/>
      <c r="B138" s="81" t="s">
        <v>123</v>
      </c>
      <c r="C138" s="109" t="s">
        <v>124</v>
      </c>
      <c r="D138" s="108">
        <f>D139+D140+D141-D142</f>
        <v>0</v>
      </c>
    </row>
    <row r="139" ht="77.1" customHeight="1" spans="1:5">
      <c r="A139" s="99"/>
      <c r="B139" s="81" t="s">
        <v>125</v>
      </c>
      <c r="C139" s="101" t="s">
        <v>126</v>
      </c>
      <c r="D139" s="108">
        <f>0.5*(1-(D117/D125)^2)^2</f>
        <v>0</v>
      </c>
    </row>
    <row r="140" ht="72" customHeight="1" spans="1:5">
      <c r="A140" s="99"/>
      <c r="B140" s="81" t="s">
        <v>127</v>
      </c>
      <c r="C140" s="101" t="s">
        <v>128</v>
      </c>
      <c r="D140" s="108">
        <f>1*(1-(D117/D126)^2)^2</f>
        <v>0</v>
      </c>
    </row>
    <row r="141" ht="60" customHeight="1" spans="1:5">
      <c r="A141" s="99"/>
      <c r="B141" s="81" t="s">
        <v>129</v>
      </c>
      <c r="C141" s="101" t="s">
        <v>130</v>
      </c>
      <c r="D141" s="108">
        <f>1-(D117/D125)^4</f>
        <v>0</v>
      </c>
    </row>
    <row r="142" ht="63" customHeight="1" spans="1:5">
      <c r="A142" s="99"/>
      <c r="B142" s="81" t="s">
        <v>131</v>
      </c>
      <c r="C142" s="101" t="s">
        <v>132</v>
      </c>
      <c r="D142" s="108">
        <f>1-(D117/D126)^4</f>
        <v>0</v>
      </c>
    </row>
    <row r="143" customHeight="1" spans="1:5">
      <c r="A143" s="99"/>
      <c r="B143" s="81" t="s">
        <v>133</v>
      </c>
      <c r="C143" s="101" t="s">
        <v>336</v>
      </c>
      <c r="D143" s="108">
        <f>IF(D144&lt;1,D144,1)</f>
        <v>1</v>
      </c>
    </row>
    <row r="144" ht="54" customHeight="1" spans="1:5">
      <c r="A144" s="99"/>
      <c r="B144" s="81"/>
      <c r="C144" s="101"/>
      <c r="D144" s="108">
        <f>IF(AND(D117=D131,D145&gt;=10),MIN(D146:D147),IF(D145&lt;10,D147,IF(AND(D131&lt;D117,D145&gt;=10),MIN(D150:D151),IF(D145&lt;10,D151))))</f>
        <v>1.09227968976628</v>
      </c>
    </row>
    <row r="145" ht="54" customHeight="1" spans="1:5">
      <c r="A145" s="99"/>
      <c r="B145" s="81" t="s">
        <v>338</v>
      </c>
      <c r="C145" s="101" t="s">
        <v>136</v>
      </c>
      <c r="D145" s="108">
        <f>IF(D10="液体",D163*D132*D181/D204/SQRT(D67*D85)*(D85^2*D67^2/(D162*D119^4)+1)^0.25,IF(D10="气体",D163*D132*D183/D204/SQRT(D67*D85)*(D85^2*D67^2/(D162*D119^4)+1)^0.25,IF(D10="蒸汽",D163*D132*D188/D204/SQRT(D67*D85)*(D85^2*D67^2/(D162*D119^4)+1)^0.25,IF(D10="两相流(液体+气体)",D163*D132*(D181+D189)/D204/SQRT(D67*D85)*(D85^2*D67^2/(D162*D119^4)+1)^0.25,IF(D10="两相流(液体+蒸汽)",D163*D132*(D181+D187)/D204/SQRT(D67*D85)*(D85^2*D67^2/(D162*D119^4)+1)^0.25,)))))</f>
        <v>629137.067512484</v>
      </c>
      <c r="E145" s="97">
        <f>D163*D132*D181/D204/SQRT(D67*D85)*(D85^2*D67^2/(D162*D119^4)+1)^0.25</f>
        <v>629137.067512484</v>
      </c>
    </row>
    <row r="146" ht="51.95" customHeight="1" spans="1:5">
      <c r="A146" s="99"/>
      <c r="B146" s="81" t="s">
        <v>137</v>
      </c>
      <c r="C146" s="101" t="s">
        <v>138</v>
      </c>
      <c r="D146" s="108">
        <f>1+(0.33*D85^0.5/D148^0.25)*LOG10(D145/10000)</f>
        <v>1.09227968976628</v>
      </c>
    </row>
    <row r="147" ht="50.1" customHeight="1" spans="1:5">
      <c r="A147" s="99"/>
      <c r="B147" s="81" t="s">
        <v>139</v>
      </c>
      <c r="C147" s="101" t="s">
        <v>140</v>
      </c>
      <c r="D147" s="108">
        <f>0.026/D85*SQRT(D148*D145)</f>
        <v>853.298426153701</v>
      </c>
    </row>
    <row r="148" ht="62.1" customHeight="1" spans="1:5">
      <c r="A148" s="99"/>
      <c r="B148" s="81" t="s">
        <v>141</v>
      </c>
      <c r="C148" s="101"/>
      <c r="D148" s="108">
        <f>D162/(D67/D117^2)^2</f>
        <v>1386.73966679339</v>
      </c>
    </row>
    <row r="149" ht="47.1" customHeight="1" spans="1:5">
      <c r="A149" s="99"/>
      <c r="B149" s="81" t="s">
        <v>142</v>
      </c>
      <c r="C149" s="101"/>
      <c r="D149" s="108">
        <f>1+D176*(D67/D117^2)^(2/3)</f>
        <v>2.46837297808919</v>
      </c>
    </row>
    <row r="150" ht="50.1" customHeight="1" spans="1:5">
      <c r="A150" s="99"/>
      <c r="B150" s="81" t="s">
        <v>143</v>
      </c>
      <c r="C150" s="101" t="s">
        <v>138</v>
      </c>
      <c r="D150" s="108">
        <f>1+(0.33*D85^0.5/D149^0.25)*LOG10(D145/10000)</f>
        <v>1.44926456383213</v>
      </c>
    </row>
    <row r="151" ht="45.95" customHeight="1" spans="1:5">
      <c r="A151" s="99"/>
      <c r="B151" s="81" t="s">
        <v>144</v>
      </c>
      <c r="C151" s="101" t="s">
        <v>140</v>
      </c>
      <c r="D151" s="108">
        <f>0.026/D85*SQRT(D149*D145)</f>
        <v>36.0005277290945</v>
      </c>
    </row>
    <row r="152" customHeight="1" spans="1:5">
      <c r="A152" s="99"/>
      <c r="B152" s="81" t="s">
        <v>145</v>
      </c>
      <c r="C152" s="101" t="s">
        <v>146</v>
      </c>
      <c r="D152" s="108">
        <f>D159/1.4</f>
        <v>1</v>
      </c>
    </row>
    <row r="153" customHeight="1" spans="1:5">
      <c r="A153" s="99"/>
      <c r="B153" s="81" t="s">
        <v>147</v>
      </c>
      <c r="C153" s="101" t="s">
        <v>148</v>
      </c>
      <c r="D153" s="108">
        <f>D28</f>
        <v>0</v>
      </c>
    </row>
    <row r="154" customHeight="1" spans="1:5">
      <c r="A154" s="99"/>
      <c r="B154" s="81" t="s">
        <v>157</v>
      </c>
      <c r="C154" s="101" t="s">
        <v>158</v>
      </c>
      <c r="D154" s="108">
        <f>D202/D200</f>
        <v>0.904761904761905</v>
      </c>
    </row>
    <row r="155" customHeight="1" spans="1:5">
      <c r="A155" s="99"/>
      <c r="B155" s="81" t="s">
        <v>159</v>
      </c>
      <c r="C155" s="101" t="s">
        <v>160</v>
      </c>
      <c r="D155" s="108">
        <f>D43</f>
        <v>0.72</v>
      </c>
    </row>
    <row r="156" ht="99" customHeight="1" spans="1:5">
      <c r="A156" s="99"/>
      <c r="B156" s="81" t="s">
        <v>162</v>
      </c>
      <c r="C156" s="101" t="s">
        <v>163</v>
      </c>
      <c r="D156" s="108">
        <f>D155/D86^2/(1+D155*(D139+D141)/D164*(D67/D117^2)^2)</f>
        <v>0.72</v>
      </c>
    </row>
    <row r="157" ht="51.95" customHeight="1" spans="1:5">
      <c r="A157" s="99"/>
      <c r="B157" s="81" t="s">
        <v>164</v>
      </c>
      <c r="C157" s="101" t="s">
        <v>165</v>
      </c>
      <c r="D157" s="108">
        <f>1-D154/3/D152/D155</f>
        <v>0.581128747795414</v>
      </c>
    </row>
    <row r="158" customHeight="1" spans="1:5">
      <c r="A158" s="99"/>
      <c r="B158" s="81" t="s">
        <v>166</v>
      </c>
      <c r="C158" s="101" t="s">
        <v>167</v>
      </c>
      <c r="D158" s="108">
        <f>D29</f>
        <v>1</v>
      </c>
    </row>
    <row r="159" customHeight="1" spans="1:5">
      <c r="A159" s="99"/>
      <c r="B159" s="81" t="s">
        <v>168</v>
      </c>
      <c r="C159" s="101" t="s">
        <v>169</v>
      </c>
      <c r="D159" s="108">
        <f>D30</f>
        <v>1.4</v>
      </c>
    </row>
    <row r="160" customHeight="1" spans="1:5">
      <c r="A160" s="99"/>
      <c r="B160" s="81" t="s">
        <v>170</v>
      </c>
      <c r="C160" s="101"/>
      <c r="D160" s="108">
        <f>D67/D117^2</f>
        <v>0.00107414403763887</v>
      </c>
    </row>
    <row r="161" customHeight="1" spans="1:8">
      <c r="A161" s="99"/>
      <c r="B161" s="81" t="s">
        <v>176</v>
      </c>
      <c r="C161" s="129" t="s">
        <v>340</v>
      </c>
      <c r="D161" s="82">
        <v>0.1</v>
      </c>
    </row>
    <row r="162" customHeight="1" spans="1:8">
      <c r="A162" s="99"/>
      <c r="B162" s="81" t="s">
        <v>178</v>
      </c>
      <c r="C162" s="81"/>
      <c r="D162" s="82">
        <v>0.0016</v>
      </c>
    </row>
    <row r="163" customHeight="1" spans="1:8">
      <c r="A163" s="99"/>
      <c r="B163" s="81" t="s">
        <v>179</v>
      </c>
      <c r="C163" s="81"/>
      <c r="D163" s="82">
        <v>0.0707</v>
      </c>
    </row>
    <row r="164" customHeight="1" spans="1:8">
      <c r="A164" s="99"/>
      <c r="B164" s="81" t="s">
        <v>180</v>
      </c>
      <c r="C164" s="81"/>
      <c r="D164" s="82">
        <v>0.0018</v>
      </c>
    </row>
    <row r="165" customHeight="1" spans="1:8">
      <c r="A165" s="99"/>
      <c r="B165" s="81" t="s">
        <v>181</v>
      </c>
      <c r="C165" s="81"/>
      <c r="D165" s="82">
        <v>3.16</v>
      </c>
    </row>
    <row r="166" customHeight="1" spans="1:8">
      <c r="A166" s="99"/>
      <c r="B166" s="81" t="s">
        <v>182</v>
      </c>
      <c r="C166" s="81"/>
      <c r="D166" s="82">
        <v>1.1</v>
      </c>
    </row>
    <row r="167" customHeight="1" spans="1:8">
      <c r="A167" s="99"/>
      <c r="B167" s="81"/>
      <c r="C167" s="81"/>
      <c r="D167" s="82">
        <v>110</v>
      </c>
    </row>
    <row r="168" customHeight="1" spans="1:8">
      <c r="A168" s="99"/>
      <c r="B168" s="81" t="s">
        <v>183</v>
      </c>
      <c r="C168" s="81"/>
      <c r="D168" s="82">
        <v>24.6</v>
      </c>
    </row>
    <row r="169" customHeight="1" spans="1:8">
      <c r="A169" s="99"/>
      <c r="B169" s="81" t="s">
        <v>184</v>
      </c>
      <c r="C169" s="81"/>
      <c r="D169" s="82">
        <v>26</v>
      </c>
    </row>
    <row r="170" customHeight="1" spans="1:8">
      <c r="A170" s="99"/>
      <c r="B170" s="81" t="s">
        <v>185</v>
      </c>
      <c r="C170" s="81"/>
      <c r="D170" s="82">
        <v>0.00105</v>
      </c>
    </row>
    <row r="171" customHeight="1" spans="1:8">
      <c r="A171" s="99"/>
      <c r="B171" s="81" t="s">
        <v>186</v>
      </c>
      <c r="C171" s="81"/>
      <c r="D171" s="82">
        <v>0.865</v>
      </c>
    </row>
    <row r="172" customHeight="1" spans="1:8">
      <c r="A172" s="99"/>
      <c r="B172" s="81" t="s">
        <v>187</v>
      </c>
      <c r="C172" s="81"/>
      <c r="D172" s="82">
        <v>2.5</v>
      </c>
    </row>
    <row r="173" customHeight="1" spans="1:8">
      <c r="A173" s="99"/>
      <c r="B173" s="81" t="s">
        <v>188</v>
      </c>
      <c r="C173" s="81"/>
      <c r="D173" s="82">
        <v>17.3</v>
      </c>
      <c r="H173" s="63" t="s">
        <v>385</v>
      </c>
    </row>
    <row r="174" customHeight="1" spans="1:8">
      <c r="A174" s="99"/>
      <c r="B174" s="81" t="s">
        <v>189</v>
      </c>
      <c r="C174" s="81"/>
      <c r="D174" s="82">
        <v>18.4</v>
      </c>
    </row>
    <row r="175" customHeight="1" spans="1:8">
      <c r="A175" s="99"/>
      <c r="B175" s="81" t="s">
        <v>190</v>
      </c>
      <c r="C175" s="81"/>
      <c r="D175" s="82">
        <v>0.775</v>
      </c>
    </row>
    <row r="176" customHeight="1" spans="1:8">
      <c r="A176" s="99"/>
      <c r="B176" s="81" t="s">
        <v>191</v>
      </c>
      <c r="C176" s="81"/>
      <c r="D176" s="82">
        <v>140</v>
      </c>
    </row>
    <row r="177" customHeight="1" spans="1:4">
      <c r="A177" s="99"/>
      <c r="B177" s="127" t="s">
        <v>192</v>
      </c>
      <c r="C177" s="81"/>
      <c r="D177" s="130">
        <v>19.6</v>
      </c>
    </row>
    <row r="178" customHeight="1" spans="1:4">
      <c r="A178" s="99"/>
      <c r="B178" s="127" t="s">
        <v>193</v>
      </c>
      <c r="C178" s="81"/>
      <c r="D178" s="130">
        <v>12800000</v>
      </c>
    </row>
    <row r="179" customHeight="1" spans="1:4">
      <c r="A179" s="99"/>
      <c r="B179" s="127" t="s">
        <v>194</v>
      </c>
      <c r="C179" s="81"/>
      <c r="D179" s="130">
        <v>21000</v>
      </c>
    </row>
    <row r="180" customHeight="1" spans="1:4">
      <c r="A180" s="99"/>
      <c r="B180" s="100" t="s">
        <v>195</v>
      </c>
      <c r="C180" s="100"/>
      <c r="D180" s="124"/>
    </row>
    <row r="181" ht="39" customHeight="1" spans="1:4">
      <c r="A181" s="99"/>
      <c r="B181" s="103" t="s">
        <v>196</v>
      </c>
      <c r="C181" s="107" t="s">
        <v>341</v>
      </c>
      <c r="D181" s="61">
        <f>IF(AND(OR(D10="液体",D10="两相流(液体+气体)",D10="两相流(液体+蒸汽)"),D14="m3/h"),D13,IF(AND(OR(D10="液体",D10="两相流(液体+气体)",D10="两相流(液体+蒸汽)"),D14="Kg/h"),D13/D192,IF(AND(OR(D10="液体",D10="两相流(液体+气体)",D10="两相流(液体+蒸汽)"),D14="Kg/s"),D13/D192*3600,IF(AND(OR(D10="液体",D10="两相流(液体+气体)",D10="两相流(液体+蒸汽)"),D14="t/h"),D13*1000/D192,IF(AND(OR(D10="液体",D10="两相流(液体+气体)",D10="两相流(液体+蒸汽)"),D14="t/s"),D13*1000/D192*3600,"")))))</f>
        <v>100</v>
      </c>
    </row>
    <row r="182" customHeight="1" spans="1:4">
      <c r="A182" s="99"/>
      <c r="B182" s="103"/>
      <c r="C182" s="107"/>
      <c r="D182" s="108">
        <f>IF(OR(D10="液体",D10="两相流(液体+气体)",D10="两相流(液体+蒸汽)"),D181*D192,"")</f>
        <v>98800</v>
      </c>
    </row>
    <row r="183" customHeight="1" spans="1:4">
      <c r="A183" s="99"/>
      <c r="B183" s="103" t="s">
        <v>344</v>
      </c>
      <c r="C183" s="103" t="s">
        <v>345</v>
      </c>
      <c r="D183" s="61" t="str">
        <f>IF(AND(D10="气体",D14="Nm3/h"),D13,IF(AND(D10="气体",D14="Kg/h"),D13/D193,IF(AND(D10="气体",D14="Kg/s"),D13/D193*3600,IF(AND(D10="气体",D14="t/h"),D13*1000/D193,IF(AND(D10="气体",D14="t/s"),D13*1000/D193*3600,IF(AND(D10="气体",D14="m3/h"),D13*D200*273.15/101.325/D37,""))))))</f>
        <v/>
      </c>
    </row>
    <row r="184" customHeight="1" spans="1:4">
      <c r="A184" s="99"/>
      <c r="B184" s="103"/>
      <c r="C184" s="103"/>
      <c r="D184" s="108" t="str">
        <f>IF(D10="气体",D183*101.325*D37/D200/273.15,"")</f>
        <v/>
      </c>
    </row>
    <row r="185" customHeight="1" spans="1:4">
      <c r="A185" s="99"/>
      <c r="B185" s="103"/>
      <c r="C185" s="103"/>
      <c r="D185" s="108" t="str">
        <f>IF(D10="气体",D183*101.325*D37/D201/273.15,"")</f>
        <v/>
      </c>
    </row>
    <row r="186" customHeight="1" spans="1:4">
      <c r="A186" s="99"/>
      <c r="B186" s="103"/>
      <c r="C186" s="103"/>
      <c r="D186" s="108" t="str">
        <f>IF(D10="气体",D183*D193,"")</f>
        <v/>
      </c>
    </row>
    <row r="187" customHeight="1" spans="1:4">
      <c r="A187" s="99"/>
      <c r="B187" s="103" t="s">
        <v>348</v>
      </c>
      <c r="C187" s="107" t="s">
        <v>349</v>
      </c>
      <c r="D187" s="61" t="str">
        <f>IF(AND(D10="蒸汽",D14="Kg/h"),D13,IF(AND(D10="蒸汽",D14="Kg/s"),D13*3600,IF(AND(D10="蒸汽",D14="m3/h"),D13*D196,IF(AND(D10="蒸汽",D14="t/h"),D13*1000,IF(AND(D10="蒸汽",D14="t/s"),D13*1000*3600,IF(AND(D10="两相流(液体+蒸汽)",D16="Kg/h"),D15,IF(AND(D10="两相流(液体+蒸汽)",D16="Kg/s"),D15*3600,IF(AND(D10="两相流(液体+蒸汽)",D16="m3/h"),D15*D196,IF(AND(D10="两相流(液体+蒸汽)",D16="t/h"),D15*1000*D196,IF(AND(D10="两相流(液体+蒸汽)",D16="t/s"),D15*1000*D196*3600,""))))))))))</f>
        <v/>
      </c>
    </row>
    <row r="188" customHeight="1" spans="1:4">
      <c r="A188" s="99"/>
      <c r="B188" s="103" t="s">
        <v>350</v>
      </c>
      <c r="C188" s="107"/>
      <c r="D188" s="108" t="str">
        <f>IF(OR(D10="蒸汽",D10="两相流(液体+蒸汽)"),D187/D196,"")</f>
        <v/>
      </c>
    </row>
    <row r="189" customHeight="1" spans="1:4">
      <c r="A189" s="99"/>
      <c r="B189" s="103" t="s">
        <v>351</v>
      </c>
      <c r="C189" s="107" t="s">
        <v>352</v>
      </c>
      <c r="D189" s="61" t="str">
        <f>IF(AND(D10="两相流(液体+气体)",D16="Kg/h"),D15,IF(AND(D10="两相流(液体+气体)",D16="Kg/s"),D15*3600,IF(AND(D10="两相流(液体+气体)",D16="t/h"),D15*1000,IF(AND(D10="两相流(液体+气体)",D16="t/s"),D15*1000*3600,IF(AND(D10="两相流(液体+气体)",D16="m3/h"),D15*D197,IF(AND(D10="两相流(液体+气体)",D16="Nm3/h"),D197*D15*101.325*D37/D200/273.15,""))))))</f>
        <v/>
      </c>
    </row>
    <row r="190" customHeight="1" spans="1:4">
      <c r="A190" s="99"/>
      <c r="B190" s="103" t="s">
        <v>353</v>
      </c>
      <c r="C190" s="107"/>
      <c r="D190" s="108" t="str">
        <f>IF(D10="两相流(液体+气体)",D189/D197,"")</f>
        <v/>
      </c>
    </row>
    <row r="191" customHeight="1" spans="1:4">
      <c r="A191" s="99"/>
      <c r="B191" s="100" t="s">
        <v>354</v>
      </c>
      <c r="C191" s="100"/>
      <c r="D191" s="124"/>
    </row>
    <row r="192" customHeight="1" spans="1:4">
      <c r="A192" s="99"/>
      <c r="B192" s="81" t="s">
        <v>21</v>
      </c>
      <c r="C192" s="101" t="s">
        <v>355</v>
      </c>
      <c r="D192" s="82">
        <f>IF(AND(OR(D10="液体",D10="两相流(液体+气体)",D10="两相流(液体+蒸汽)"),D24="Kg/m3"),D23,IF(AND(OR(D10="液体",D10="两相流(液体+气体)",D10="两相流(液体+蒸汽)"),D24="g/cm3"),D23*1000,""))</f>
        <v>988</v>
      </c>
    </row>
    <row r="193" customHeight="1" spans="1:5">
      <c r="A193" s="99"/>
      <c r="B193" s="81" t="s">
        <v>171</v>
      </c>
      <c r="C193" s="101" t="s">
        <v>357</v>
      </c>
      <c r="D193" s="82" t="str">
        <f>IF(AND(D10="气体",D23="",D28&lt;&gt;""),D28/22.4,IF(AND(D10="气体",D24="Kg/m3"),D23*D37*101.325/D200/273.15,IF(AND(D10="气体",D24="g/cm3"),D23*D37*101.325/D200/273.15*1000,IF(AND(D10="气体",D24="Kg/Nm3"),D23,""))))</f>
        <v/>
      </c>
    </row>
    <row r="194" customHeight="1" spans="1:5">
      <c r="A194" s="99"/>
      <c r="B194" s="81"/>
      <c r="C194" s="101" t="s">
        <v>386</v>
      </c>
      <c r="D194" s="82" t="str">
        <f>IF(D10="气体",D193*273.15*D200/D37/101.325,"")</f>
        <v/>
      </c>
    </row>
    <row r="195" customHeight="1" spans="1:5">
      <c r="A195" s="99"/>
      <c r="B195" s="81"/>
      <c r="C195" s="101" t="s">
        <v>387</v>
      </c>
      <c r="D195" s="82" t="str">
        <f>IF(D10="气体",D194*D201/D17,"")</f>
        <v/>
      </c>
    </row>
    <row r="196" customHeight="1" spans="1:5">
      <c r="A196" s="99"/>
      <c r="B196" s="81" t="s">
        <v>174</v>
      </c>
      <c r="C196" s="101" t="s">
        <v>359</v>
      </c>
      <c r="D196" s="82" t="str">
        <f>IF(AND(D10="蒸汽",D24="Kg/m3"),D23,IF(AND(D10="蒸汽",D24="g/cm3"),D23*1000,IF(AND(D10="两相流(液体+蒸汽)",D24="Kg/m3"),D25,IF(AND(D10="两相流(液体+蒸汽)",D24="g/cm3"),D25*1000,""))))</f>
        <v/>
      </c>
    </row>
    <row r="197" customHeight="1" spans="1:5">
      <c r="A197" s="99"/>
      <c r="B197" s="81" t="s">
        <v>360</v>
      </c>
      <c r="C197" s="101" t="s">
        <v>361</v>
      </c>
      <c r="D197" s="82" t="str">
        <f>IF(AND(D10="两相流(液体+气体)",D26="Kg/Nm3"),D25*(D200*273.15)/D37/101.325,IF(AND(D10="两相流(液体+气体)",D26="g/cm3"),D25*1000,IF(AND(D10="两相流(液体+气体)",D26="Kg/m3"),D25,"")))</f>
        <v/>
      </c>
    </row>
    <row r="198" customHeight="1" spans="1:5">
      <c r="A198" s="99"/>
      <c r="B198" s="81" t="s">
        <v>360</v>
      </c>
      <c r="C198" s="101" t="s">
        <v>362</v>
      </c>
      <c r="D198" s="82">
        <f>IF(D10="液体",D192,IF(D10="气体",D194,IF(D10="蒸汽",D196,IF(D10="两相流(液体+气体)",D111,IF(D10="两相流(液体+蒸汽)",D113,IF(D10="两相流(液体+气体)",D111,))))))</f>
        <v>988</v>
      </c>
    </row>
    <row r="199" customHeight="1" spans="1:5">
      <c r="A199" s="99"/>
      <c r="B199" s="100" t="s">
        <v>388</v>
      </c>
      <c r="C199" s="100"/>
      <c r="D199" s="124"/>
    </row>
    <row r="200" customHeight="1" spans="1:5">
      <c r="A200" s="99"/>
      <c r="B200" s="81" t="s">
        <v>13</v>
      </c>
      <c r="C200" s="101" t="s">
        <v>389</v>
      </c>
      <c r="D200" s="82">
        <f>IF(D18="MPa(G)",D17*1000+100,IF(D18="MPa(A)",D17*1000,IF(D18="KPa(G)",D17+100,IF(D18="KPa(A)",D17,IF(D18="bar(G)",D17*100+100,IF(D18="bar(A)",D17*100,))))))</f>
        <v>2100</v>
      </c>
    </row>
    <row r="201" customHeight="1" spans="1:5">
      <c r="A201" s="99"/>
      <c r="B201" s="81" t="s">
        <v>16</v>
      </c>
      <c r="C201" s="101" t="s">
        <v>390</v>
      </c>
      <c r="D201" s="82">
        <f>IF(D20="MPa(G)",D19*1000+100,IF(D20="MPa(A)",D19*1000,IF(D20="KPa(G)",D19+100,IF(D20="KPa(A)",D19,IF(D20="bar(G)",D19*100+100,IF(D20="bar(A)",D19*100,))))))</f>
        <v>200</v>
      </c>
    </row>
    <row r="202" s="93" customFormat="1" customHeight="1" spans="1:5">
      <c r="A202" s="131"/>
      <c r="B202" s="132" t="s">
        <v>18</v>
      </c>
      <c r="C202" s="133" t="s">
        <v>391</v>
      </c>
      <c r="D202" s="82">
        <f>D200-D201</f>
        <v>1900</v>
      </c>
      <c r="E202" s="134"/>
    </row>
    <row r="203" customHeight="1" spans="1:5">
      <c r="A203" s="99"/>
      <c r="B203" s="100" t="s">
        <v>363</v>
      </c>
      <c r="C203" s="100"/>
      <c r="D203" s="100"/>
    </row>
    <row r="204" customHeight="1" spans="1:5">
      <c r="A204" s="99"/>
      <c r="B204" s="81"/>
      <c r="C204" s="101" t="s">
        <v>364</v>
      </c>
      <c r="D204" s="82">
        <f>IF(AND(D31="粘度",D33="m2/s"),D32,IF(AND(D31="粘度",D33="mm2/s"),D32*10^-6,IF(AND(D31="粘度",D33="St"),D32*10^-4,IF(AND(D31="粘度",D33="Cst"),D32^-6,IF(AND(D31="粘度",D33="mm2/s"),D32*10^-6,IF(AND(D31="粘度",D33="cP"),D32/D198/1000,IF(AND(D31="粘度",D33="Pa.S"),D32/D198,IF(AND(D31="粘度",D33="mPa.S"),D32/D198/1000,))))))))</f>
        <v>1.01214574898785e-6</v>
      </c>
    </row>
    <row r="205" customHeight="1" spans="1:5">
      <c r="A205" s="99"/>
      <c r="B205" s="100" t="s">
        <v>366</v>
      </c>
      <c r="C205" s="100"/>
      <c r="D205" s="124"/>
    </row>
    <row r="206" customHeight="1" spans="1:5">
      <c r="A206" s="99"/>
      <c r="B206" s="81" t="s">
        <v>200</v>
      </c>
      <c r="C206" s="101" t="s">
        <v>201</v>
      </c>
      <c r="D206" s="108">
        <v>7.07406</v>
      </c>
      <c r="E206" s="97" t="s">
        <v>367</v>
      </c>
    </row>
    <row r="207" customHeight="1" spans="1:5">
      <c r="A207" s="99"/>
      <c r="B207" s="81" t="s">
        <v>202</v>
      </c>
      <c r="C207" s="101" t="s">
        <v>201</v>
      </c>
      <c r="D207" s="108">
        <v>1657.46</v>
      </c>
    </row>
    <row r="208" customHeight="1" spans="1:5">
      <c r="A208" s="99"/>
      <c r="B208" s="81" t="s">
        <v>55</v>
      </c>
      <c r="C208" s="101" t="s">
        <v>201</v>
      </c>
      <c r="D208" s="108">
        <v>227.02</v>
      </c>
    </row>
    <row r="209" customHeight="1" spans="1:4">
      <c r="A209" s="99"/>
      <c r="B209" s="81" t="s">
        <v>36</v>
      </c>
      <c r="C209" s="101" t="s">
        <v>204</v>
      </c>
      <c r="D209" s="108">
        <f>IF(D12="℃",10^(D206-D207/(D208+D211)),IF(D12="K",10^(D206-D207/(D208+(D211-273))),IF(D12="F",10^(D206-D207/(D208+(D211-32)/1.8)))))</f>
        <v>12.3276952603035</v>
      </c>
    </row>
    <row r="210" customHeight="1" spans="1:4">
      <c r="A210" s="99"/>
      <c r="B210" s="81" t="s">
        <v>205</v>
      </c>
      <c r="C210" s="101" t="s">
        <v>206</v>
      </c>
      <c r="D210" s="108">
        <f>IF(D200&lt;0,"",D207/(D206-LOG10(D200))-227.02)</f>
        <v>214.752487215033</v>
      </c>
    </row>
    <row r="211" customHeight="1" spans="1:4">
      <c r="A211" s="99"/>
      <c r="B211" s="135" t="s">
        <v>6</v>
      </c>
      <c r="C211" s="136" t="s">
        <v>392</v>
      </c>
      <c r="D211" s="137">
        <f>IF(D11="常温",25,IF(D11="AMB",25,IF(D12="℃",D11,IF(D12="K",D11-273.15,IF(D12="F",(D11-32)/1.8,)))))</f>
        <v>50</v>
      </c>
    </row>
    <row r="212" customHeight="1" spans="1:4">
      <c r="A212" s="99"/>
      <c r="B212" s="138" t="s">
        <v>393</v>
      </c>
      <c r="C212" s="139"/>
      <c r="D212" s="140"/>
    </row>
    <row r="213" customHeight="1" spans="1:4">
      <c r="A213" s="99"/>
      <c r="B213" s="81"/>
      <c r="C213" s="101" t="s">
        <v>394</v>
      </c>
      <c r="D213" s="141" t="str">
        <f>IFERROR(IF(AND(D10="液体",D200&lt;=D209),"计算错误，输入压力小于饱和蒸汽压；",""),"")</f>
        <v/>
      </c>
    </row>
    <row r="214" customHeight="1" spans="1:4">
      <c r="A214" s="99"/>
      <c r="B214" s="81"/>
      <c r="C214" s="101" t="s">
        <v>395</v>
      </c>
      <c r="D214" s="141" t="str">
        <f>IFERROR(IF(OR(D200&lt;0,D201&lt;0),"计算错误，绝对压力不能小于0，请检查压力值；",""),"")</f>
        <v/>
      </c>
    </row>
    <row r="215" customHeight="1" spans="1:4">
      <c r="A215" s="99"/>
      <c r="B215" s="81"/>
      <c r="C215" s="101" t="s">
        <v>396</v>
      </c>
      <c r="D215" s="141" t="str">
        <f>IFERROR(IF(AND(D10="液体",D211&gt;D210),"计算错误，介质温度高于饱和温度；",""),"")</f>
        <v/>
      </c>
    </row>
    <row r="216" customHeight="1" spans="1:4">
      <c r="A216" s="99"/>
      <c r="B216" s="81"/>
      <c r="C216" s="101" t="s">
        <v>397</v>
      </c>
      <c r="D216" s="141" t="str">
        <f>IFERROR(IF(AND(D10="液体",D51="闪蒸"),"闪蒸工况噪音无法计算；",""),"")</f>
        <v/>
      </c>
    </row>
    <row r="217" customHeight="1" spans="1:4">
      <c r="A217" s="99"/>
      <c r="B217" s="81"/>
      <c r="C217" s="101" t="s">
        <v>398</v>
      </c>
      <c r="D217" s="141" t="str">
        <f>IFERROR(IF(D201&gt;=D200,"计算错误，进口压力必须大于出口压力；",""),"")</f>
        <v/>
      </c>
    </row>
    <row r="218" customHeight="1" spans="1:4">
      <c r="A218" s="99"/>
      <c r="B218" s="81"/>
      <c r="C218" s="101" t="s">
        <v>399</v>
      </c>
      <c r="D218" s="141" t="str">
        <f>IFERROR(IF(AND(D40&gt;D3,D3&lt;&gt;""),"阀门口径不能大于进口管道尺寸；",""),"")</f>
        <v/>
      </c>
    </row>
    <row r="219" customHeight="1" spans="1:4">
      <c r="A219" s="99">
        <v>1200101</v>
      </c>
      <c r="B219" s="81"/>
      <c r="C219" s="101"/>
      <c r="D219" s="141" t="str">
        <f>CONCATENATE(D213,D214,D215,D216,D217,D218)</f>
        <v/>
      </c>
    </row>
  </sheetData>
  <mergeCells count="57">
    <mergeCell ref="B2:D2"/>
    <mergeCell ref="B9:D9"/>
    <mergeCell ref="B39:D39"/>
    <mergeCell ref="B50:D50"/>
    <mergeCell ref="B58:D58"/>
    <mergeCell ref="B71:D71"/>
    <mergeCell ref="B93:D93"/>
    <mergeCell ref="B101:D101"/>
    <mergeCell ref="B109:D109"/>
    <mergeCell ref="B115:D115"/>
    <mergeCell ref="B180:D180"/>
    <mergeCell ref="B191:D191"/>
    <mergeCell ref="B199:D199"/>
    <mergeCell ref="B203:D203"/>
    <mergeCell ref="B205:D205"/>
    <mergeCell ref="B212:D212"/>
    <mergeCell ref="B11:B12"/>
    <mergeCell ref="B13:B16"/>
    <mergeCell ref="B17:B18"/>
    <mergeCell ref="B19:B20"/>
    <mergeCell ref="B21:B22"/>
    <mergeCell ref="B23:B26"/>
    <mergeCell ref="B31:B33"/>
    <mergeCell ref="B47:B49"/>
    <mergeCell ref="B52:B53"/>
    <mergeCell ref="B68:B70"/>
    <mergeCell ref="B72:B76"/>
    <mergeCell ref="B80:B84"/>
    <mergeCell ref="B89:B92"/>
    <mergeCell ref="B120:B121"/>
    <mergeCell ref="B123:B124"/>
    <mergeCell ref="B143:B144"/>
    <mergeCell ref="B166:B167"/>
    <mergeCell ref="B181:B182"/>
    <mergeCell ref="B183:B186"/>
    <mergeCell ref="B193:B195"/>
    <mergeCell ref="C11:C12"/>
    <mergeCell ref="C13:C14"/>
    <mergeCell ref="C15:C16"/>
    <mergeCell ref="C17:C18"/>
    <mergeCell ref="C19:C20"/>
    <mergeCell ref="C21:C22"/>
    <mergeCell ref="C23:C24"/>
    <mergeCell ref="C25:C26"/>
    <mergeCell ref="C31:C33"/>
    <mergeCell ref="C68:C70"/>
    <mergeCell ref="C77:C78"/>
    <mergeCell ref="C123:C124"/>
    <mergeCell ref="C143:C144"/>
    <mergeCell ref="C161:C179"/>
    <mergeCell ref="C181:C182"/>
    <mergeCell ref="C183:C186"/>
    <mergeCell ref="C187:C188"/>
    <mergeCell ref="C189:C190"/>
    <mergeCell ref="E3:E8"/>
    <mergeCell ref="E132:E133"/>
    <mergeCell ref="E206:E208"/>
  </mergeCells>
  <dataValidations count="10">
    <dataValidation type="list" allowBlank="1" showInputMessage="1" showErrorMessage="1" sqref="D10">
      <formula1>"液体,气体,蒸汽,两相流(液体+气体),两相流(液体+蒸汽)"</formula1>
    </dataValidation>
    <dataValidation type="list" allowBlank="1" showInputMessage="1" showErrorMessage="1" sqref="D12">
      <formula1>"℃,K,F"</formula1>
    </dataValidation>
    <dataValidation type="list" allowBlank="1" showInputMessage="1" showErrorMessage="1" sqref="D14">
      <formula1>"m3/h,Nm3/h,Kg/h,t/h,Kg/s,t/s"</formula1>
    </dataValidation>
    <dataValidation type="list" allowBlank="1" showInputMessage="1" showErrorMessage="1" sqref="D16">
      <formula1>"m3/h,Nm3/h,Kg/h,t/h"</formula1>
    </dataValidation>
    <dataValidation type="list" allowBlank="1" showInputMessage="1" showErrorMessage="1" sqref="D18">
      <formula1>"MPa(G),MPa(A),KPa(G),KPa(A),bar(G),bar(A)"</formula1>
    </dataValidation>
    <dataValidation type="list" allowBlank="1" showInputMessage="1" showErrorMessage="1" sqref="D24 D26">
      <formula1>"Kg/m3,g/cm3,Kg/Nm3"</formula1>
    </dataValidation>
    <dataValidation type="list" allowBlank="1" showInputMessage="1" showErrorMessage="1" sqref="D33">
      <formula1>"m2/s,mm2/s,St,Cst,cP,Pa.S,mPa.S"</formula1>
    </dataValidation>
    <dataValidation type="list" allowBlank="1" showInputMessage="1" showErrorMessage="1" sqref="D45">
      <formula1>"等百分比,线性,快开"</formula1>
    </dataValidation>
    <dataValidation type="list" allowBlank="1" showInputMessage="1" showErrorMessage="1" sqref="D46">
      <formula1>"30,50,100"</formula1>
    </dataValidation>
    <dataValidation type="list" allowBlank="1" showInputMessage="1" showErrorMessage="1" sqref="D47">
      <formula1>"额定Kv,额定Cv"</formula1>
    </dataValidation>
  </dataValidations>
  <pageMargins left="0.275" right="0.118055555555556" top="0.196527777777778" bottom="0.118055555555556" header="0.0784722222222222" footer="0.0784722222222222"/>
  <pageSetup paperSize="9" scale="87" orientation="portrait"/>
  <headerFooter/>
  <drawing r:id="rId1"/>
  <legacyDrawing r:id="rId2"/>
  <oleObjects>
    <mc:AlternateContent xmlns:mc="http://schemas.openxmlformats.org/markup-compatibility/2006">
      <mc:Choice Requires="x14">
        <oleObject shapeId="107521" progId="Equation.KSEE3" r:id="rId3">
          <objectPr defaultSize="0" r:id="rId4">
            <anchor moveWithCells="1">
              <from>
                <xdr:col>3</xdr:col>
                <xdr:colOff>0</xdr:colOff>
                <xdr:row>67</xdr:row>
                <xdr:rowOff>9525</xdr:rowOff>
              </from>
              <to>
                <xdr:col>3</xdr:col>
                <xdr:colOff>742950</xdr:colOff>
                <xdr:row>67</xdr:row>
                <xdr:rowOff>390525</xdr:rowOff>
              </to>
            </anchor>
          </objectPr>
        </oleObject>
      </mc:Choice>
      <mc:Fallback>
        <oleObject shapeId="107521" progId="Equation.KSEE3" r:id="rId3"/>
      </mc:Fallback>
    </mc:AlternateContent>
    <mc:AlternateContent xmlns:mc="http://schemas.openxmlformats.org/markup-compatibility/2006">
      <mc:Choice Requires="x14">
        <oleObject shapeId="107522" progId="Equation.KSEE3" r:id="rId5">
          <objectPr defaultSize="0" r:id="rId6">
            <anchor moveWithCells="1">
              <from>
                <xdr:col>3</xdr:col>
                <xdr:colOff>0</xdr:colOff>
                <xdr:row>58</xdr:row>
                <xdr:rowOff>19050</xdr:rowOff>
              </from>
              <to>
                <xdr:col>3</xdr:col>
                <xdr:colOff>1019175</xdr:colOff>
                <xdr:row>58</xdr:row>
                <xdr:rowOff>400050</xdr:rowOff>
              </to>
            </anchor>
          </objectPr>
        </oleObject>
      </mc:Choice>
      <mc:Fallback>
        <oleObject shapeId="107522" progId="Equation.KSEE3" r:id="rId5"/>
      </mc:Fallback>
    </mc:AlternateContent>
    <mc:AlternateContent xmlns:mc="http://schemas.openxmlformats.org/markup-compatibility/2006">
      <mc:Choice Requires="x14">
        <oleObject shapeId="107523" progId="Equation.KSEE3" r:id="rId7">
          <objectPr defaultSize="0" r:id="rId8">
            <anchor moveWithCells="1">
              <from>
                <xdr:col>3</xdr:col>
                <xdr:colOff>0</xdr:colOff>
                <xdr:row>59</xdr:row>
                <xdr:rowOff>9525</xdr:rowOff>
              </from>
              <to>
                <xdr:col>3</xdr:col>
                <xdr:colOff>1181100</xdr:colOff>
                <xdr:row>59</xdr:row>
                <xdr:rowOff>390525</xdr:rowOff>
              </to>
            </anchor>
          </objectPr>
        </oleObject>
      </mc:Choice>
      <mc:Fallback>
        <oleObject shapeId="107523" progId="Equation.KSEE3" r:id="rId7"/>
      </mc:Fallback>
    </mc:AlternateContent>
    <mc:AlternateContent xmlns:mc="http://schemas.openxmlformats.org/markup-compatibility/2006">
      <mc:Choice Requires="x14">
        <oleObject shapeId="107524" progId="Equation.KSEE3" r:id="rId9">
          <objectPr defaultSize="0" r:id="rId10">
            <anchor moveWithCells="1">
              <from>
                <xdr:col>3</xdr:col>
                <xdr:colOff>0</xdr:colOff>
                <xdr:row>60</xdr:row>
                <xdr:rowOff>9525</xdr:rowOff>
              </from>
              <to>
                <xdr:col>3</xdr:col>
                <xdr:colOff>1314450</xdr:colOff>
                <xdr:row>60</xdr:row>
                <xdr:rowOff>390525</xdr:rowOff>
              </to>
            </anchor>
          </objectPr>
        </oleObject>
      </mc:Choice>
      <mc:Fallback>
        <oleObject shapeId="107524" progId="Equation.KSEE3" r:id="rId9"/>
      </mc:Fallback>
    </mc:AlternateContent>
    <mc:AlternateContent xmlns:mc="http://schemas.openxmlformats.org/markup-compatibility/2006">
      <mc:Choice Requires="x14">
        <oleObject shapeId="107525" progId="Equation.KSEE3" r:id="rId11">
          <objectPr defaultSize="0" r:id="rId12">
            <anchor moveWithCells="1">
              <from>
                <xdr:col>3</xdr:col>
                <xdr:colOff>0</xdr:colOff>
                <xdr:row>61</xdr:row>
                <xdr:rowOff>19050</xdr:rowOff>
              </from>
              <to>
                <xdr:col>3</xdr:col>
                <xdr:colOff>1371600</xdr:colOff>
                <xdr:row>61</xdr:row>
                <xdr:rowOff>419100</xdr:rowOff>
              </to>
            </anchor>
          </objectPr>
        </oleObject>
      </mc:Choice>
      <mc:Fallback>
        <oleObject shapeId="107525" progId="Equation.KSEE3" r:id="rId11"/>
      </mc:Fallback>
    </mc:AlternateContent>
    <mc:AlternateContent xmlns:mc="http://schemas.openxmlformats.org/markup-compatibility/2006">
      <mc:Choice Requires="x14">
        <oleObject shapeId="107526" progId="Equation.KSEE3" r:id="rId13">
          <objectPr defaultSize="0" r:id="rId14">
            <anchor moveWithCells="1">
              <from>
                <xdr:col>3</xdr:col>
                <xdr:colOff>0</xdr:colOff>
                <xdr:row>62</xdr:row>
                <xdr:rowOff>28575</xdr:rowOff>
              </from>
              <to>
                <xdr:col>3</xdr:col>
                <xdr:colOff>1162050</xdr:colOff>
                <xdr:row>62</xdr:row>
                <xdr:rowOff>428625</xdr:rowOff>
              </to>
            </anchor>
          </objectPr>
        </oleObject>
      </mc:Choice>
      <mc:Fallback>
        <oleObject shapeId="107526" progId="Equation.KSEE3" r:id="rId13"/>
      </mc:Fallback>
    </mc:AlternateContent>
    <mc:AlternateContent xmlns:mc="http://schemas.openxmlformats.org/markup-compatibility/2006">
      <mc:Choice Requires="x14">
        <oleObject shapeId="107527" progId="Equation.KSEE3" r:id="rId15">
          <objectPr defaultSize="0" r:id="rId16">
            <anchor moveWithCells="1">
              <from>
                <xdr:col>3</xdr:col>
                <xdr:colOff>0</xdr:colOff>
                <xdr:row>85</xdr:row>
                <xdr:rowOff>28575</xdr:rowOff>
              </from>
              <to>
                <xdr:col>3</xdr:col>
                <xdr:colOff>1362075</xdr:colOff>
                <xdr:row>85</xdr:row>
                <xdr:rowOff>723900</xdr:rowOff>
              </to>
            </anchor>
          </objectPr>
        </oleObject>
      </mc:Choice>
      <mc:Fallback>
        <oleObject shapeId="107527" progId="Equation.KSEE3" r:id="rId15"/>
      </mc:Fallback>
    </mc:AlternateContent>
    <mc:AlternateContent xmlns:mc="http://schemas.openxmlformats.org/markup-compatibility/2006">
      <mc:Choice Requires="x14">
        <oleObject shapeId="107528" progId="Equation.KSEE3" r:id="rId17">
          <objectPr defaultSize="0" r:id="rId18">
            <anchor moveWithCells="1">
              <from>
                <xdr:col>3</xdr:col>
                <xdr:colOff>0</xdr:colOff>
                <xdr:row>137</xdr:row>
                <xdr:rowOff>76200</xdr:rowOff>
              </from>
              <to>
                <xdr:col>3</xdr:col>
                <xdr:colOff>2066925</xdr:colOff>
                <xdr:row>137</xdr:row>
                <xdr:rowOff>361950</xdr:rowOff>
              </to>
            </anchor>
          </objectPr>
        </oleObject>
      </mc:Choice>
      <mc:Fallback>
        <oleObject shapeId="107528" progId="Equation.KSEE3" r:id="rId17"/>
      </mc:Fallback>
    </mc:AlternateContent>
    <mc:AlternateContent xmlns:mc="http://schemas.openxmlformats.org/markup-compatibility/2006">
      <mc:Choice Requires="x14">
        <oleObject shapeId="107529" progId="Equation.KSEE3" r:id="rId19">
          <objectPr defaultSize="0" r:id="rId20">
            <anchor moveWithCells="1">
              <from>
                <xdr:col>3</xdr:col>
                <xdr:colOff>0</xdr:colOff>
                <xdr:row>138</xdr:row>
                <xdr:rowOff>85725</xdr:rowOff>
              </from>
              <to>
                <xdr:col>3</xdr:col>
                <xdr:colOff>1762125</xdr:colOff>
                <xdr:row>138</xdr:row>
                <xdr:rowOff>904875</xdr:rowOff>
              </to>
            </anchor>
          </objectPr>
        </oleObject>
      </mc:Choice>
      <mc:Fallback>
        <oleObject shapeId="107529" progId="Equation.KSEE3" r:id="rId19"/>
      </mc:Fallback>
    </mc:AlternateContent>
    <mc:AlternateContent xmlns:mc="http://schemas.openxmlformats.org/markup-compatibility/2006">
      <mc:Choice Requires="x14">
        <oleObject shapeId="107530" progId="Equation.KSEE3" r:id="rId21">
          <objectPr defaultSize="0" r:id="rId22">
            <anchor moveWithCells="1">
              <from>
                <xdr:col>3</xdr:col>
                <xdr:colOff>0</xdr:colOff>
                <xdr:row>139</xdr:row>
                <xdr:rowOff>66675</xdr:rowOff>
              </from>
              <to>
                <xdr:col>3</xdr:col>
                <xdr:colOff>1762125</xdr:colOff>
                <xdr:row>139</xdr:row>
                <xdr:rowOff>885825</xdr:rowOff>
              </to>
            </anchor>
          </objectPr>
        </oleObject>
      </mc:Choice>
      <mc:Fallback>
        <oleObject shapeId="107530" progId="Equation.KSEE3" r:id="rId21"/>
      </mc:Fallback>
    </mc:AlternateContent>
    <mc:AlternateContent xmlns:mc="http://schemas.openxmlformats.org/markup-compatibility/2006">
      <mc:Choice Requires="x14">
        <oleObject shapeId="107531" progId="Equation.KSEE3" r:id="rId23">
          <objectPr defaultSize="0" r:id="rId24">
            <anchor moveWithCells="1">
              <from>
                <xdr:col>3</xdr:col>
                <xdr:colOff>0</xdr:colOff>
                <xdr:row>140</xdr:row>
                <xdr:rowOff>47625</xdr:rowOff>
              </from>
              <to>
                <xdr:col>3</xdr:col>
                <xdr:colOff>1295400</xdr:colOff>
                <xdr:row>140</xdr:row>
                <xdr:rowOff>723900</xdr:rowOff>
              </to>
            </anchor>
          </objectPr>
        </oleObject>
      </mc:Choice>
      <mc:Fallback>
        <oleObject shapeId="107531" progId="Equation.KSEE3" r:id="rId23"/>
      </mc:Fallback>
    </mc:AlternateContent>
    <mc:AlternateContent xmlns:mc="http://schemas.openxmlformats.org/markup-compatibility/2006">
      <mc:Choice Requires="x14">
        <oleObject shapeId="107532" progId="Equation.KSEE3" r:id="rId25">
          <objectPr defaultSize="0" r:id="rId26">
            <anchor moveWithCells="1">
              <from>
                <xdr:col>3</xdr:col>
                <xdr:colOff>0</xdr:colOff>
                <xdr:row>141</xdr:row>
                <xdr:rowOff>47625</xdr:rowOff>
              </from>
              <to>
                <xdr:col>3</xdr:col>
                <xdr:colOff>1352550</xdr:colOff>
                <xdr:row>141</xdr:row>
                <xdr:rowOff>742950</xdr:rowOff>
              </to>
            </anchor>
          </objectPr>
        </oleObject>
      </mc:Choice>
      <mc:Fallback>
        <oleObject shapeId="107532" progId="Equation.KSEE3" r:id="rId25"/>
      </mc:Fallback>
    </mc:AlternateContent>
    <mc:AlternateContent xmlns:mc="http://schemas.openxmlformats.org/markup-compatibility/2006">
      <mc:Choice Requires="x14">
        <oleObject shapeId="107533" progId="Equation.KSEE3" r:id="rId27">
          <objectPr defaultSize="0" r:id="rId28">
            <anchor moveWithCells="1">
              <from>
                <xdr:col>3</xdr:col>
                <xdr:colOff>0</xdr:colOff>
                <xdr:row>144</xdr:row>
                <xdr:rowOff>38100</xdr:rowOff>
              </from>
              <to>
                <xdr:col>3</xdr:col>
                <xdr:colOff>2095500</xdr:colOff>
                <xdr:row>144</xdr:row>
                <xdr:rowOff>657225</xdr:rowOff>
              </to>
            </anchor>
          </objectPr>
        </oleObject>
      </mc:Choice>
      <mc:Fallback>
        <oleObject shapeId="107533" progId="Equation.KSEE3" r:id="rId27"/>
      </mc:Fallback>
    </mc:AlternateContent>
    <mc:AlternateContent xmlns:mc="http://schemas.openxmlformats.org/markup-compatibility/2006">
      <mc:Choice Requires="x14">
        <oleObject shapeId="107534" progId="Equation.KSEE3" r:id="rId29">
          <objectPr defaultSize="0" r:id="rId30">
            <anchor moveWithCells="1">
              <from>
                <xdr:col>3</xdr:col>
                <xdr:colOff>0</xdr:colOff>
                <xdr:row>145</xdr:row>
                <xdr:rowOff>85725</xdr:rowOff>
              </from>
              <to>
                <xdr:col>3</xdr:col>
                <xdr:colOff>1952625</xdr:colOff>
                <xdr:row>145</xdr:row>
                <xdr:rowOff>590550</xdr:rowOff>
              </to>
            </anchor>
          </objectPr>
        </oleObject>
      </mc:Choice>
      <mc:Fallback>
        <oleObject shapeId="107534" progId="Equation.KSEE3" r:id="rId29"/>
      </mc:Fallback>
    </mc:AlternateContent>
    <mc:AlternateContent xmlns:mc="http://schemas.openxmlformats.org/markup-compatibility/2006">
      <mc:Choice Requires="x14">
        <oleObject shapeId="107535" progId="Equation.KSEE3" r:id="rId31">
          <objectPr defaultSize="0" r:id="rId32">
            <anchor moveWithCells="1">
              <from>
                <xdr:col>3</xdr:col>
                <xdr:colOff>0</xdr:colOff>
                <xdr:row>147</xdr:row>
                <xdr:rowOff>85725</xdr:rowOff>
              </from>
              <to>
                <xdr:col>3</xdr:col>
                <xdr:colOff>762000</xdr:colOff>
                <xdr:row>147</xdr:row>
                <xdr:rowOff>742950</xdr:rowOff>
              </to>
            </anchor>
          </objectPr>
        </oleObject>
      </mc:Choice>
      <mc:Fallback>
        <oleObject shapeId="107535" progId="Equation.KSEE3" r:id="rId31"/>
      </mc:Fallback>
    </mc:AlternateContent>
    <mc:AlternateContent xmlns:mc="http://schemas.openxmlformats.org/markup-compatibility/2006">
      <mc:Choice Requires="x14">
        <oleObject shapeId="107536" progId="Equation.KSEE3" r:id="rId33">
          <objectPr defaultSize="0" r:id="rId34">
            <anchor moveWithCells="1">
              <from>
                <xdr:col>3</xdr:col>
                <xdr:colOff>0</xdr:colOff>
                <xdr:row>146</xdr:row>
                <xdr:rowOff>142875</xdr:rowOff>
              </from>
              <to>
                <xdr:col>3</xdr:col>
                <xdr:colOff>1171575</xdr:colOff>
                <xdr:row>146</xdr:row>
                <xdr:rowOff>571500</xdr:rowOff>
              </to>
            </anchor>
          </objectPr>
        </oleObject>
      </mc:Choice>
      <mc:Fallback>
        <oleObject shapeId="107536" progId="Equation.KSEE3" r:id="rId33"/>
      </mc:Fallback>
    </mc:AlternateContent>
    <mc:AlternateContent xmlns:mc="http://schemas.openxmlformats.org/markup-compatibility/2006">
      <mc:Choice Requires="x14">
        <oleObject shapeId="107537" progId="Equation.KSEE3" r:id="rId35">
          <objectPr defaultSize="0" r:id="rId36">
            <anchor moveWithCells="1">
              <from>
                <xdr:col>3</xdr:col>
                <xdr:colOff>0</xdr:colOff>
                <xdr:row>148</xdr:row>
                <xdr:rowOff>66675</xdr:rowOff>
              </from>
              <to>
                <xdr:col>3</xdr:col>
                <xdr:colOff>1219200</xdr:colOff>
                <xdr:row>148</xdr:row>
                <xdr:rowOff>533400</xdr:rowOff>
              </to>
            </anchor>
          </objectPr>
        </oleObject>
      </mc:Choice>
      <mc:Fallback>
        <oleObject shapeId="107537" progId="Equation.KSEE3" r:id="rId35"/>
      </mc:Fallback>
    </mc:AlternateContent>
    <mc:AlternateContent xmlns:mc="http://schemas.openxmlformats.org/markup-compatibility/2006">
      <mc:Choice Requires="x14">
        <oleObject shapeId="107538" progId="Equation.KSEE3" r:id="rId37">
          <objectPr defaultSize="0" r:id="rId38">
            <anchor moveWithCells="1">
              <from>
                <xdr:col>3</xdr:col>
                <xdr:colOff>0</xdr:colOff>
                <xdr:row>149</xdr:row>
                <xdr:rowOff>66675</xdr:rowOff>
              </from>
              <to>
                <xdr:col>3</xdr:col>
                <xdr:colOff>1943100</xdr:colOff>
                <xdr:row>149</xdr:row>
                <xdr:rowOff>571500</xdr:rowOff>
              </to>
            </anchor>
          </objectPr>
        </oleObject>
      </mc:Choice>
      <mc:Fallback>
        <oleObject shapeId="107538" progId="Equation.KSEE3" r:id="rId37"/>
      </mc:Fallback>
    </mc:AlternateContent>
    <mc:AlternateContent xmlns:mc="http://schemas.openxmlformats.org/markup-compatibility/2006">
      <mc:Choice Requires="x14">
        <oleObject shapeId="107539" progId="Equation.KSEE3" r:id="rId39">
          <objectPr defaultSize="0" r:id="rId40">
            <anchor moveWithCells="1">
              <from>
                <xdr:col>3</xdr:col>
                <xdr:colOff>0</xdr:colOff>
                <xdr:row>150</xdr:row>
                <xdr:rowOff>76200</xdr:rowOff>
              </from>
              <to>
                <xdr:col>3</xdr:col>
                <xdr:colOff>1190625</xdr:colOff>
                <xdr:row>150</xdr:row>
                <xdr:rowOff>504825</xdr:rowOff>
              </to>
            </anchor>
          </objectPr>
        </oleObject>
      </mc:Choice>
      <mc:Fallback>
        <oleObject shapeId="107539" progId="Equation.KSEE3" r:id="rId39"/>
      </mc:Fallback>
    </mc:AlternateContent>
    <mc:AlternateContent xmlns:mc="http://schemas.openxmlformats.org/markup-compatibility/2006">
      <mc:Choice Requires="x14">
        <oleObject shapeId="107540" progId="Equation.KSEE3" r:id="rId41">
          <objectPr defaultSize="0" r:id="rId42">
            <anchor moveWithCells="1">
              <from>
                <xdr:col>3</xdr:col>
                <xdr:colOff>0</xdr:colOff>
                <xdr:row>86</xdr:row>
                <xdr:rowOff>57150</xdr:rowOff>
              </from>
              <to>
                <xdr:col>3</xdr:col>
                <xdr:colOff>1733550</xdr:colOff>
                <xdr:row>86</xdr:row>
                <xdr:rowOff>781050</xdr:rowOff>
              </to>
            </anchor>
          </objectPr>
        </oleObject>
      </mc:Choice>
      <mc:Fallback>
        <oleObject shapeId="107540" progId="Equation.KSEE3" r:id="rId41"/>
      </mc:Fallback>
    </mc:AlternateContent>
    <mc:AlternateContent xmlns:mc="http://schemas.openxmlformats.org/markup-compatibility/2006">
      <mc:Choice Requires="x14">
        <oleObject shapeId="107541" progId="Equation.KSEE3" r:id="rId43">
          <objectPr defaultSize="0" r:id="rId44">
            <anchor moveWithCells="1">
              <from>
                <xdr:col>3</xdr:col>
                <xdr:colOff>0</xdr:colOff>
                <xdr:row>87</xdr:row>
                <xdr:rowOff>66675</xdr:rowOff>
              </from>
              <to>
                <xdr:col>3</xdr:col>
                <xdr:colOff>1323975</xdr:colOff>
                <xdr:row>87</xdr:row>
                <xdr:rowOff>552450</xdr:rowOff>
              </to>
            </anchor>
          </objectPr>
        </oleObject>
      </mc:Choice>
      <mc:Fallback>
        <oleObject shapeId="107541" progId="Equation.KSEE3" r:id="rId43"/>
      </mc:Fallback>
    </mc:AlternateContent>
    <mc:AlternateContent xmlns:mc="http://schemas.openxmlformats.org/markup-compatibility/2006">
      <mc:Choice Requires="x14">
        <oleObject shapeId="107542" progId="Equation.KSEE3" r:id="rId45">
          <objectPr defaultSize="0" r:id="rId46">
            <anchor moveWithCells="1">
              <from>
                <xdr:col>3</xdr:col>
                <xdr:colOff>0</xdr:colOff>
                <xdr:row>208</xdr:row>
                <xdr:rowOff>76200</xdr:rowOff>
              </from>
              <to>
                <xdr:col>3</xdr:col>
                <xdr:colOff>1314450</xdr:colOff>
                <xdr:row>208</xdr:row>
                <xdr:rowOff>361950</xdr:rowOff>
              </to>
            </anchor>
          </objectPr>
        </oleObject>
      </mc:Choice>
      <mc:Fallback>
        <oleObject shapeId="107542" progId="Equation.KSEE3" r:id="rId45"/>
      </mc:Fallback>
    </mc:AlternateContent>
    <mc:AlternateContent xmlns:mc="http://schemas.openxmlformats.org/markup-compatibility/2006">
      <mc:Choice Requires="x14">
        <oleObject shapeId="107543" progId="Equation.KSEE3" r:id="rId47">
          <objectPr defaultSize="0" r:id="rId48">
            <anchor moveWithCells="1">
              <from>
                <xdr:col>3</xdr:col>
                <xdr:colOff>0</xdr:colOff>
                <xdr:row>209</xdr:row>
                <xdr:rowOff>85725</xdr:rowOff>
              </from>
              <to>
                <xdr:col>3</xdr:col>
                <xdr:colOff>2333625</xdr:colOff>
                <xdr:row>209</xdr:row>
                <xdr:rowOff>400050</xdr:rowOff>
              </to>
            </anchor>
          </objectPr>
        </oleObject>
      </mc:Choice>
      <mc:Fallback>
        <oleObject shapeId="107543" progId="Equation.KSEE3" r:id="rId47"/>
      </mc:Fallback>
    </mc:AlternateContent>
    <mc:AlternateContent xmlns:mc="http://schemas.openxmlformats.org/markup-compatibility/2006">
      <mc:Choice Requires="x14">
        <oleObject shapeId="107544" progId="Equation.KSEE3" r:id="rId49">
          <objectPr defaultSize="0" r:id="rId50">
            <anchor moveWithCells="1">
              <from>
                <xdr:col>3</xdr:col>
                <xdr:colOff>0</xdr:colOff>
                <xdr:row>91</xdr:row>
                <xdr:rowOff>38100</xdr:rowOff>
              </from>
              <to>
                <xdr:col>3</xdr:col>
                <xdr:colOff>257175</xdr:colOff>
                <xdr:row>92</xdr:row>
                <xdr:rowOff>0</xdr:rowOff>
              </to>
            </anchor>
          </objectPr>
        </oleObject>
      </mc:Choice>
      <mc:Fallback>
        <oleObject shapeId="107544" progId="Equation.KSEE3" r:id="rId49"/>
      </mc:Fallback>
    </mc:AlternateContent>
    <mc:AlternateContent xmlns:mc="http://schemas.openxmlformats.org/markup-compatibility/2006">
      <mc:Choice Requires="x14">
        <oleObject shapeId="107545" progId="Equation.KSEE3" r:id="rId51">
          <objectPr defaultSize="0" r:id="rId52">
            <anchor moveWithCells="1">
              <from>
                <xdr:col>3</xdr:col>
                <xdr:colOff>0</xdr:colOff>
                <xdr:row>89</xdr:row>
                <xdr:rowOff>38100</xdr:rowOff>
              </from>
              <to>
                <xdr:col>3</xdr:col>
                <xdr:colOff>561975</xdr:colOff>
                <xdr:row>89</xdr:row>
                <xdr:rowOff>447675</xdr:rowOff>
              </to>
            </anchor>
          </objectPr>
        </oleObject>
      </mc:Choice>
      <mc:Fallback>
        <oleObject shapeId="107545" progId="Equation.KSEE3" r:id="rId51"/>
      </mc:Fallback>
    </mc:AlternateContent>
    <mc:AlternateContent xmlns:mc="http://schemas.openxmlformats.org/markup-compatibility/2006">
      <mc:Choice Requires="x14">
        <oleObject shapeId="107546" progId="Equation.KSEE3" r:id="rId53">
          <objectPr defaultSize="0" r:id="rId54">
            <anchor moveWithCells="1">
              <from>
                <xdr:col>3</xdr:col>
                <xdr:colOff>0</xdr:colOff>
                <xdr:row>90</xdr:row>
                <xdr:rowOff>28575</xdr:rowOff>
              </from>
              <to>
                <xdr:col>3</xdr:col>
                <xdr:colOff>847725</xdr:colOff>
                <xdr:row>91</xdr:row>
                <xdr:rowOff>2540</xdr:rowOff>
              </to>
            </anchor>
          </objectPr>
        </oleObject>
      </mc:Choice>
      <mc:Fallback>
        <oleObject shapeId="107546" progId="Equation.KSEE3" r:id="rId53"/>
      </mc:Fallback>
    </mc:AlternateContent>
    <mc:AlternateContent xmlns:mc="http://schemas.openxmlformats.org/markup-compatibility/2006">
      <mc:Choice Requires="x14">
        <oleObject shapeId="107547" progId="Equation.KSEE3" r:id="rId55">
          <objectPr defaultSize="0" r:id="rId56">
            <anchor moveWithCells="1">
              <from>
                <xdr:col>3</xdr:col>
                <xdr:colOff>0</xdr:colOff>
                <xdr:row>88</xdr:row>
                <xdr:rowOff>28575</xdr:rowOff>
              </from>
              <to>
                <xdr:col>3</xdr:col>
                <xdr:colOff>504825</xdr:colOff>
                <xdr:row>88</xdr:row>
                <xdr:rowOff>447675</xdr:rowOff>
              </to>
            </anchor>
          </objectPr>
        </oleObject>
      </mc:Choice>
      <mc:Fallback>
        <oleObject shapeId="107547" progId="Equation.KSEE3" r:id="rId55"/>
      </mc:Fallback>
    </mc:AlternateContent>
    <mc:AlternateContent xmlns:mc="http://schemas.openxmlformats.org/markup-compatibility/2006">
      <mc:Choice Requires="x14">
        <oleObject shapeId="107548" progId="Equation.KSEE3" r:id="rId57">
          <objectPr defaultSize="0" r:id="rId58">
            <anchor moveWithCells="1">
              <from>
                <xdr:col>3</xdr:col>
                <xdr:colOff>0</xdr:colOff>
                <xdr:row>132</xdr:row>
                <xdr:rowOff>47625</xdr:rowOff>
              </from>
              <to>
                <xdr:col>3</xdr:col>
                <xdr:colOff>733425</xdr:colOff>
                <xdr:row>132</xdr:row>
                <xdr:rowOff>638175</xdr:rowOff>
              </to>
            </anchor>
          </objectPr>
        </oleObject>
      </mc:Choice>
      <mc:Fallback>
        <oleObject shapeId="107548" progId="Equation.KSEE3" r:id="rId57"/>
      </mc:Fallback>
    </mc:AlternateContent>
    <mc:AlternateContent xmlns:mc="http://schemas.openxmlformats.org/markup-compatibility/2006">
      <mc:Choice Requires="x14">
        <oleObject shapeId="107549" progId="Equation.KSEE3" r:id="rId59">
          <objectPr defaultSize="0" r:id="rId60">
            <anchor moveWithCells="1">
              <from>
                <xdr:col>3</xdr:col>
                <xdr:colOff>0</xdr:colOff>
                <xdr:row>133</xdr:row>
                <xdr:rowOff>104775</xdr:rowOff>
              </from>
              <to>
                <xdr:col>3</xdr:col>
                <xdr:colOff>771525</xdr:colOff>
                <xdr:row>133</xdr:row>
                <xdr:rowOff>638175</xdr:rowOff>
              </to>
            </anchor>
          </objectPr>
        </oleObject>
      </mc:Choice>
      <mc:Fallback>
        <oleObject shapeId="107549" progId="Equation.KSEE3" r:id="rId59"/>
      </mc:Fallback>
    </mc:AlternateContent>
    <mc:AlternateContent xmlns:mc="http://schemas.openxmlformats.org/markup-compatibility/2006">
      <mc:Choice Requires="x14">
        <oleObject shapeId="107550" progId="Equation.KSEE3" r:id="rId61">
          <objectPr defaultSize="0" r:id="rId62">
            <anchor moveWithCells="1">
              <from>
                <xdr:col>3</xdr:col>
                <xdr:colOff>0</xdr:colOff>
                <xdr:row>134</xdr:row>
                <xdr:rowOff>66675</xdr:rowOff>
              </from>
              <to>
                <xdr:col>3</xdr:col>
                <xdr:colOff>1000125</xdr:colOff>
                <xdr:row>134</xdr:row>
                <xdr:rowOff>676275</xdr:rowOff>
              </to>
            </anchor>
          </objectPr>
        </oleObject>
      </mc:Choice>
      <mc:Fallback>
        <oleObject shapeId="107550" progId="Equation.KSEE3" r:id="rId61"/>
      </mc:Fallback>
    </mc:AlternateContent>
    <mc:AlternateContent xmlns:mc="http://schemas.openxmlformats.org/markup-compatibility/2006">
      <mc:Choice Requires="x14">
        <oleObject shapeId="107551" progId="Equation.KSEE3" r:id="rId63">
          <objectPr defaultSize="0" r:id="rId64">
            <anchor moveWithCells="1">
              <from>
                <xdr:col>3</xdr:col>
                <xdr:colOff>0</xdr:colOff>
                <xdr:row>135</xdr:row>
                <xdr:rowOff>76200</xdr:rowOff>
              </from>
              <to>
                <xdr:col>3</xdr:col>
                <xdr:colOff>1009650</xdr:colOff>
                <xdr:row>136</xdr:row>
                <xdr:rowOff>1270</xdr:rowOff>
              </to>
            </anchor>
          </objectPr>
        </oleObject>
      </mc:Choice>
      <mc:Fallback>
        <oleObject shapeId="107551" progId="Equation.KSEE3" r:id="rId63"/>
      </mc:Fallback>
    </mc:AlternateContent>
    <mc:AlternateContent xmlns:mc="http://schemas.openxmlformats.org/markup-compatibility/2006">
      <mc:Choice Requires="x14">
        <oleObject shapeId="107552" progId="Equation.KSEE3" r:id="rId65">
          <objectPr defaultSize="0" r:id="rId66">
            <anchor moveWithCells="1">
              <from>
                <xdr:col>3</xdr:col>
                <xdr:colOff>0</xdr:colOff>
                <xdr:row>136</xdr:row>
                <xdr:rowOff>142875</xdr:rowOff>
              </from>
              <to>
                <xdr:col>3</xdr:col>
                <xdr:colOff>752475</xdr:colOff>
                <xdr:row>136</xdr:row>
                <xdr:rowOff>466725</xdr:rowOff>
              </to>
            </anchor>
          </objectPr>
        </oleObject>
      </mc:Choice>
      <mc:Fallback>
        <oleObject shapeId="107552" progId="Equation.KSEE3" r:id="rId65"/>
      </mc:Fallback>
    </mc:AlternateContent>
    <mc:AlternateContent xmlns:mc="http://schemas.openxmlformats.org/markup-compatibility/2006">
      <mc:Choice Requires="x14">
        <oleObject shapeId="107553" progId="Equation.KSEE3" r:id="rId67">
          <objectPr defaultSize="0" r:id="rId68">
            <anchor moveWithCells="1">
              <from>
                <xdr:col>3</xdr:col>
                <xdr:colOff>0</xdr:colOff>
                <xdr:row>156</xdr:row>
                <xdr:rowOff>38100</xdr:rowOff>
              </from>
              <to>
                <xdr:col>3</xdr:col>
                <xdr:colOff>1133475</xdr:colOff>
                <xdr:row>156</xdr:row>
                <xdr:rowOff>590550</xdr:rowOff>
              </to>
            </anchor>
          </objectPr>
        </oleObject>
      </mc:Choice>
      <mc:Fallback>
        <oleObject shapeId="107553" progId="Equation.KSEE3" r:id="rId67"/>
      </mc:Fallback>
    </mc:AlternateContent>
    <mc:AlternateContent xmlns:mc="http://schemas.openxmlformats.org/markup-compatibility/2006">
      <mc:Choice Requires="x14">
        <oleObject shapeId="107554" progId="Equation.KSEE3" r:id="rId69">
          <objectPr defaultSize="0" r:id="rId70">
            <anchor moveWithCells="1">
              <from>
                <xdr:col>3</xdr:col>
                <xdr:colOff>0</xdr:colOff>
                <xdr:row>151</xdr:row>
                <xdr:rowOff>28575</xdr:rowOff>
              </from>
              <to>
                <xdr:col>3</xdr:col>
                <xdr:colOff>571500</xdr:colOff>
                <xdr:row>152</xdr:row>
                <xdr:rowOff>5080</xdr:rowOff>
              </to>
            </anchor>
          </objectPr>
        </oleObject>
      </mc:Choice>
      <mc:Fallback>
        <oleObject shapeId="107554" progId="Equation.KSEE3" r:id="rId69"/>
      </mc:Fallback>
    </mc:AlternateContent>
    <mc:AlternateContent xmlns:mc="http://schemas.openxmlformats.org/markup-compatibility/2006">
      <mc:Choice Requires="x14">
        <oleObject shapeId="107555" progId="Equation.KSEE3" r:id="rId71">
          <objectPr defaultSize="0" r:id="rId72">
            <anchor moveWithCells="1">
              <from>
                <xdr:col>3</xdr:col>
                <xdr:colOff>0</xdr:colOff>
                <xdr:row>155</xdr:row>
                <xdr:rowOff>38100</xdr:rowOff>
              </from>
              <to>
                <xdr:col>3</xdr:col>
                <xdr:colOff>1762125</xdr:colOff>
                <xdr:row>155</xdr:row>
                <xdr:rowOff>1181100</xdr:rowOff>
              </to>
            </anchor>
          </objectPr>
        </oleObject>
      </mc:Choice>
      <mc:Fallback>
        <oleObject shapeId="107555" progId="Equation.KSEE3" r:id="rId71"/>
      </mc:Fallback>
    </mc:AlternateContent>
    <mc:AlternateContent xmlns:mc="http://schemas.openxmlformats.org/markup-compatibility/2006">
      <mc:Choice Requires="x14">
        <oleObject shapeId="107556" progId="Equation.KSEE3" r:id="rId73">
          <objectPr defaultSize="0" r:id="rId74">
            <anchor moveWithCells="1">
              <from>
                <xdr:col>3</xdr:col>
                <xdr:colOff>0</xdr:colOff>
                <xdr:row>93</xdr:row>
                <xdr:rowOff>85725</xdr:rowOff>
              </from>
              <to>
                <xdr:col>3</xdr:col>
                <xdr:colOff>2219325</xdr:colOff>
                <xdr:row>93</xdr:row>
                <xdr:rowOff>714375</xdr:rowOff>
              </to>
            </anchor>
          </objectPr>
        </oleObject>
      </mc:Choice>
      <mc:Fallback>
        <oleObject shapeId="107556" progId="Equation.KSEE3" r:id="rId73"/>
      </mc:Fallback>
    </mc:AlternateContent>
    <mc:AlternateContent xmlns:mc="http://schemas.openxmlformats.org/markup-compatibility/2006">
      <mc:Choice Requires="x14">
        <oleObject shapeId="107557" progId="Equation.KSEE3" r:id="rId75">
          <objectPr defaultSize="0" r:id="rId76">
            <anchor moveWithCells="1">
              <from>
                <xdr:col>3</xdr:col>
                <xdr:colOff>0</xdr:colOff>
                <xdr:row>94</xdr:row>
                <xdr:rowOff>76200</xdr:rowOff>
              </from>
              <to>
                <xdr:col>3</xdr:col>
                <xdr:colOff>2457450</xdr:colOff>
                <xdr:row>94</xdr:row>
                <xdr:rowOff>695325</xdr:rowOff>
              </to>
            </anchor>
          </objectPr>
        </oleObject>
      </mc:Choice>
      <mc:Fallback>
        <oleObject shapeId="107557" progId="Equation.KSEE3" r:id="rId75"/>
      </mc:Fallback>
    </mc:AlternateContent>
    <mc:AlternateContent xmlns:mc="http://schemas.openxmlformats.org/markup-compatibility/2006">
      <mc:Choice Requires="x14">
        <oleObject shapeId="107558" progId="Equation.KSEE3" r:id="rId77">
          <objectPr defaultSize="0" r:id="rId78">
            <anchor moveWithCells="1">
              <from>
                <xdr:col>3</xdr:col>
                <xdr:colOff>0</xdr:colOff>
                <xdr:row>95</xdr:row>
                <xdr:rowOff>85725</xdr:rowOff>
              </from>
              <to>
                <xdr:col>3</xdr:col>
                <xdr:colOff>2571750</xdr:colOff>
                <xdr:row>95</xdr:row>
                <xdr:rowOff>742950</xdr:rowOff>
              </to>
            </anchor>
          </objectPr>
        </oleObject>
      </mc:Choice>
      <mc:Fallback>
        <oleObject shapeId="107558" progId="Equation.KSEE3" r:id="rId77"/>
      </mc:Fallback>
    </mc:AlternateContent>
    <mc:AlternateContent xmlns:mc="http://schemas.openxmlformats.org/markup-compatibility/2006">
      <mc:Choice Requires="x14">
        <oleObject shapeId="107559" progId="Equation.KSEE3" r:id="rId79">
          <objectPr defaultSize="0" r:id="rId80">
            <anchor moveWithCells="1">
              <from>
                <xdr:col>3</xdr:col>
                <xdr:colOff>0</xdr:colOff>
                <xdr:row>96</xdr:row>
                <xdr:rowOff>57150</xdr:rowOff>
              </from>
              <to>
                <xdr:col>3</xdr:col>
                <xdr:colOff>2790825</xdr:colOff>
                <xdr:row>96</xdr:row>
                <xdr:rowOff>714375</xdr:rowOff>
              </to>
            </anchor>
          </objectPr>
        </oleObject>
      </mc:Choice>
      <mc:Fallback>
        <oleObject shapeId="107559" progId="Equation.KSEE3" r:id="rId79"/>
      </mc:Fallback>
    </mc:AlternateContent>
    <mc:AlternateContent xmlns:mc="http://schemas.openxmlformats.org/markup-compatibility/2006">
      <mc:Choice Requires="x14">
        <oleObject shapeId="107560" progId="Equation.KSEE3" r:id="rId81">
          <objectPr defaultSize="0" r:id="rId82">
            <anchor moveWithCells="1">
              <from>
                <xdr:col>3</xdr:col>
                <xdr:colOff>0</xdr:colOff>
                <xdr:row>101</xdr:row>
                <xdr:rowOff>85725</xdr:rowOff>
              </from>
              <to>
                <xdr:col>3</xdr:col>
                <xdr:colOff>1428750</xdr:colOff>
                <xdr:row>101</xdr:row>
                <xdr:rowOff>638175</xdr:rowOff>
              </to>
            </anchor>
          </objectPr>
        </oleObject>
      </mc:Choice>
      <mc:Fallback>
        <oleObject shapeId="107560" progId="Equation.KSEE3" r:id="rId81"/>
      </mc:Fallback>
    </mc:AlternateContent>
    <mc:AlternateContent xmlns:mc="http://schemas.openxmlformats.org/markup-compatibility/2006">
      <mc:Choice Requires="x14">
        <oleObject shapeId="107561" progId="Equation.KSEE3" r:id="rId83">
          <objectPr defaultSize="0" r:id="rId84">
            <anchor moveWithCells="1">
              <from>
                <xdr:col>3</xdr:col>
                <xdr:colOff>0</xdr:colOff>
                <xdr:row>102</xdr:row>
                <xdr:rowOff>66675</xdr:rowOff>
              </from>
              <to>
                <xdr:col>3</xdr:col>
                <xdr:colOff>1743075</xdr:colOff>
                <xdr:row>102</xdr:row>
                <xdr:rowOff>657225</xdr:rowOff>
              </to>
            </anchor>
          </objectPr>
        </oleObject>
      </mc:Choice>
      <mc:Fallback>
        <oleObject shapeId="107561" progId="Equation.KSEE3" r:id="rId83"/>
      </mc:Fallback>
    </mc:AlternateContent>
    <mc:AlternateContent xmlns:mc="http://schemas.openxmlformats.org/markup-compatibility/2006">
      <mc:Choice Requires="x14">
        <oleObject shapeId="107562" progId="Equation.KSEE3" r:id="rId85">
          <objectPr defaultSize="0" r:id="rId86">
            <anchor moveWithCells="1">
              <from>
                <xdr:col>3</xdr:col>
                <xdr:colOff>0</xdr:colOff>
                <xdr:row>103</xdr:row>
                <xdr:rowOff>95250</xdr:rowOff>
              </from>
              <to>
                <xdr:col>3</xdr:col>
                <xdr:colOff>2171700</xdr:colOff>
                <xdr:row>103</xdr:row>
                <xdr:rowOff>714375</xdr:rowOff>
              </to>
            </anchor>
          </objectPr>
        </oleObject>
      </mc:Choice>
      <mc:Fallback>
        <oleObject shapeId="107562" progId="Equation.KSEE3" r:id="rId85"/>
      </mc:Fallback>
    </mc:AlternateContent>
    <mc:AlternateContent xmlns:mc="http://schemas.openxmlformats.org/markup-compatibility/2006">
      <mc:Choice Requires="x14">
        <oleObject shapeId="107563" progId="Equation.KSEE3" r:id="rId87">
          <objectPr defaultSize="0" r:id="rId88">
            <anchor moveWithCells="1">
              <from>
                <xdr:col>3</xdr:col>
                <xdr:colOff>0</xdr:colOff>
                <xdr:row>104</xdr:row>
                <xdr:rowOff>66675</xdr:rowOff>
              </from>
              <to>
                <xdr:col>3</xdr:col>
                <xdr:colOff>2695575</xdr:colOff>
                <xdr:row>104</xdr:row>
                <xdr:rowOff>723900</xdr:rowOff>
              </to>
            </anchor>
          </objectPr>
        </oleObject>
      </mc:Choice>
      <mc:Fallback>
        <oleObject shapeId="107563" progId="Equation.KSEE3" r:id="rId87"/>
      </mc:Fallback>
    </mc:AlternateContent>
    <mc:AlternateContent xmlns:mc="http://schemas.openxmlformats.org/markup-compatibility/2006">
      <mc:Choice Requires="x14">
        <oleObject shapeId="107564" progId="Equation.KSEE3" r:id="rId89">
          <objectPr defaultSize="0" r:id="rId90">
            <anchor moveWithCells="1">
              <from>
                <xdr:col>3</xdr:col>
                <xdr:colOff>0</xdr:colOff>
                <xdr:row>97</xdr:row>
                <xdr:rowOff>57150</xdr:rowOff>
              </from>
              <to>
                <xdr:col>3</xdr:col>
                <xdr:colOff>2295525</xdr:colOff>
                <xdr:row>97</xdr:row>
                <xdr:rowOff>695325</xdr:rowOff>
              </to>
            </anchor>
          </objectPr>
        </oleObject>
      </mc:Choice>
      <mc:Fallback>
        <oleObject shapeId="107564" progId="Equation.KSEE3" r:id="rId89"/>
      </mc:Fallback>
    </mc:AlternateContent>
    <mc:AlternateContent xmlns:mc="http://schemas.openxmlformats.org/markup-compatibility/2006">
      <mc:Choice Requires="x14">
        <oleObject shapeId="107565" progId="Equation.KSEE3" r:id="rId91">
          <objectPr defaultSize="0" r:id="rId92">
            <anchor moveWithCells="1">
              <from>
                <xdr:col>3</xdr:col>
                <xdr:colOff>0</xdr:colOff>
                <xdr:row>105</xdr:row>
                <xdr:rowOff>104775</xdr:rowOff>
              </from>
              <to>
                <xdr:col>3</xdr:col>
                <xdr:colOff>2505075</xdr:colOff>
                <xdr:row>105</xdr:row>
                <xdr:rowOff>742950</xdr:rowOff>
              </to>
            </anchor>
          </objectPr>
        </oleObject>
      </mc:Choice>
      <mc:Fallback>
        <oleObject shapeId="107565" progId="Equation.KSEE3" r:id="rId91"/>
      </mc:Fallback>
    </mc:AlternateContent>
    <mc:AlternateContent xmlns:mc="http://schemas.openxmlformats.org/markup-compatibility/2006">
      <mc:Choice Requires="x14">
        <oleObject shapeId="107566" progId="Equation.KSEE3" r:id="rId93">
          <objectPr defaultSize="0" r:id="rId94">
            <anchor moveWithCells="1">
              <from>
                <xdr:col>3</xdr:col>
                <xdr:colOff>0</xdr:colOff>
                <xdr:row>109</xdr:row>
                <xdr:rowOff>76200</xdr:rowOff>
              </from>
              <to>
                <xdr:col>3</xdr:col>
                <xdr:colOff>1466850</xdr:colOff>
                <xdr:row>109</xdr:row>
                <xdr:rowOff>676275</xdr:rowOff>
              </to>
            </anchor>
          </objectPr>
        </oleObject>
      </mc:Choice>
      <mc:Fallback>
        <oleObject shapeId="107566" progId="Equation.KSEE3" r:id="rId93"/>
      </mc:Fallback>
    </mc:AlternateContent>
    <mc:AlternateContent xmlns:mc="http://schemas.openxmlformats.org/markup-compatibility/2006">
      <mc:Choice Requires="x14">
        <oleObject shapeId="107567" progId="Equation.KSEE3" r:id="rId95">
          <objectPr defaultSize="0" r:id="rId96">
            <anchor moveWithCells="1">
              <from>
                <xdr:col>3</xdr:col>
                <xdr:colOff>0</xdr:colOff>
                <xdr:row>110</xdr:row>
                <xdr:rowOff>85725</xdr:rowOff>
              </from>
              <to>
                <xdr:col>3</xdr:col>
                <xdr:colOff>2628900</xdr:colOff>
                <xdr:row>110</xdr:row>
                <xdr:rowOff>781050</xdr:rowOff>
              </to>
            </anchor>
          </objectPr>
        </oleObject>
      </mc:Choice>
      <mc:Fallback>
        <oleObject shapeId="107567" progId="Equation.KSEE3" r:id="rId95"/>
      </mc:Fallback>
    </mc:AlternateContent>
    <mc:AlternateContent xmlns:mc="http://schemas.openxmlformats.org/markup-compatibility/2006">
      <mc:Choice Requires="x14">
        <oleObject shapeId="107568" progId="Equation.KSEE3" r:id="rId97">
          <objectPr defaultSize="0" r:id="rId98">
            <anchor moveWithCells="1">
              <from>
                <xdr:col>3</xdr:col>
                <xdr:colOff>0</xdr:colOff>
                <xdr:row>112</xdr:row>
                <xdr:rowOff>104775</xdr:rowOff>
              </from>
              <to>
                <xdr:col>3</xdr:col>
                <xdr:colOff>2324100</xdr:colOff>
                <xdr:row>112</xdr:row>
                <xdr:rowOff>723900</xdr:rowOff>
              </to>
            </anchor>
          </objectPr>
        </oleObject>
      </mc:Choice>
      <mc:Fallback>
        <oleObject shapeId="107568" progId="Equation.KSEE3" r:id="rId97"/>
      </mc:Fallback>
    </mc:AlternateContent>
    <mc:AlternateContent xmlns:mc="http://schemas.openxmlformats.org/markup-compatibility/2006">
      <mc:Choice Requires="x14">
        <oleObject shapeId="107569" progId="Equation.KSEE3" r:id="rId99">
          <objectPr defaultSize="0" r:id="rId100">
            <anchor moveWithCells="1">
              <from>
                <xdr:col>3</xdr:col>
                <xdr:colOff>0</xdr:colOff>
                <xdr:row>111</xdr:row>
                <xdr:rowOff>95250</xdr:rowOff>
              </from>
              <to>
                <xdr:col>3</xdr:col>
                <xdr:colOff>2724150</xdr:colOff>
                <xdr:row>111</xdr:row>
                <xdr:rowOff>809625</xdr:rowOff>
              </to>
            </anchor>
          </objectPr>
        </oleObject>
      </mc:Choice>
      <mc:Fallback>
        <oleObject shapeId="107569" progId="Equation.KSEE3" r:id="rId99"/>
      </mc:Fallback>
    </mc:AlternateContent>
    <mc:AlternateContent xmlns:mc="http://schemas.openxmlformats.org/markup-compatibility/2006">
      <mc:Choice Requires="x14">
        <oleObject shapeId="107570" progId="Equation.KSEE3" r:id="rId101">
          <objectPr defaultSize="0" r:id="rId102">
            <anchor moveWithCells="1">
              <from>
                <xdr:col>3</xdr:col>
                <xdr:colOff>0</xdr:colOff>
                <xdr:row>76</xdr:row>
                <xdr:rowOff>161925</xdr:rowOff>
              </from>
              <to>
                <xdr:col>3</xdr:col>
                <xdr:colOff>809625</xdr:colOff>
                <xdr:row>76</xdr:row>
                <xdr:rowOff>438150</xdr:rowOff>
              </to>
            </anchor>
          </objectPr>
        </oleObject>
      </mc:Choice>
      <mc:Fallback>
        <oleObject shapeId="107570" progId="Equation.KSEE3" r:id="rId101"/>
      </mc:Fallback>
    </mc:AlternateContent>
    <mc:AlternateContent xmlns:mc="http://schemas.openxmlformats.org/markup-compatibility/2006">
      <mc:Choice Requires="x14">
        <oleObject shapeId="107571" progId="Equation.KSEE3" r:id="rId103">
          <objectPr defaultSize="0" r:id="rId104">
            <anchor moveWithCells="1">
              <from>
                <xdr:col>3</xdr:col>
                <xdr:colOff>0</xdr:colOff>
                <xdr:row>77</xdr:row>
                <xdr:rowOff>9525</xdr:rowOff>
              </from>
              <to>
                <xdr:col>3</xdr:col>
                <xdr:colOff>933450</xdr:colOff>
                <xdr:row>77</xdr:row>
                <xdr:rowOff>485775</xdr:rowOff>
              </to>
            </anchor>
          </objectPr>
        </oleObject>
      </mc:Choice>
      <mc:Fallback>
        <oleObject shapeId="107571" progId="Equation.KSEE3" r:id="rId103"/>
      </mc:Fallback>
    </mc:AlternateContent>
    <mc:AlternateContent xmlns:mc="http://schemas.openxmlformats.org/markup-compatibility/2006">
      <mc:Choice Requires="x14">
        <oleObject shapeId="107572" progId="Equation.KSEE3" r:id="rId105">
          <objectPr defaultSize="0" r:id="rId4">
            <anchor moveWithCells="1">
              <from>
                <xdr:col>3</xdr:col>
                <xdr:colOff>0</xdr:colOff>
                <xdr:row>68</xdr:row>
                <xdr:rowOff>38100</xdr:rowOff>
              </from>
              <to>
                <xdr:col>3</xdr:col>
                <xdr:colOff>723900</xdr:colOff>
                <xdr:row>69</xdr:row>
                <xdr:rowOff>9525</xdr:rowOff>
              </to>
            </anchor>
          </objectPr>
        </oleObject>
      </mc:Choice>
      <mc:Fallback>
        <oleObject shapeId="107572" progId="Equation.KSEE3" r:id="rId10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K124"/>
  <sheetViews>
    <sheetView workbookViewId="0">
      <selection activeCell="G10" sqref="G10"/>
    </sheetView>
  </sheetViews>
  <sheetFormatPr defaultColWidth="8.25" defaultRowHeight="24.95" customHeight="1"/>
  <cols>
    <col min="1" max="1" width="13.375" style="11" customWidth="1"/>
    <col min="2" max="2" width="53.125" style="58" customWidth="1"/>
    <col min="3" max="3" width="8.625" style="11" customWidth="1"/>
    <col min="4" max="4" width="40.75" style="11" customWidth="1"/>
    <col min="5" max="5" width="16.125" style="11" customWidth="1"/>
    <col min="6" max="6" width="21.125" style="12" customWidth="1"/>
    <col min="7" max="8" width="11.75" style="12"/>
    <col min="9" max="9" width="8.25" style="12"/>
    <col min="10" max="10" width="8.75" style="12"/>
    <col min="11" max="11" width="11.75" style="12"/>
    <col min="12" max="16384" width="8.25" style="12"/>
  </cols>
  <sheetData>
    <row r="1" s="56" customFormat="1" customHeight="1" spans="1:219">
      <c r="A1" s="59" t="s">
        <v>0</v>
      </c>
      <c r="B1" s="59" t="s">
        <v>1</v>
      </c>
      <c r="C1" s="59" t="s">
        <v>2</v>
      </c>
      <c r="D1" s="60" t="s">
        <v>3</v>
      </c>
      <c r="E1" s="61" t="s">
        <v>4</v>
      </c>
      <c r="F1" s="62"/>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row>
    <row r="2" s="57" customFormat="1" customHeight="1" spans="1:219">
      <c r="A2" s="64" t="s">
        <v>400</v>
      </c>
      <c r="B2" s="64" t="s">
        <v>401</v>
      </c>
      <c r="C2" s="65" t="s">
        <v>65</v>
      </c>
      <c r="D2" s="66"/>
      <c r="E2" s="67" t="e">
        <f>IF(E85&lt;0.3,E98+10,E122-10)</f>
        <v>#NUM!</v>
      </c>
      <c r="F2" s="68"/>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c r="DV2" s="69"/>
      <c r="DW2" s="69"/>
      <c r="DX2" s="69"/>
      <c r="DY2" s="69"/>
      <c r="DZ2" s="69"/>
      <c r="EA2" s="69"/>
      <c r="EB2" s="69"/>
      <c r="EC2" s="69"/>
      <c r="ED2" s="69"/>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row>
    <row r="3" s="56" customFormat="1" customHeight="1" spans="1:219">
      <c r="A3" s="70" t="s">
        <v>402</v>
      </c>
      <c r="B3" s="70"/>
      <c r="C3" s="70"/>
      <c r="D3" s="70"/>
      <c r="E3" s="71"/>
      <c r="F3" s="62"/>
      <c r="G3" s="63" t="s">
        <v>403</v>
      </c>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row>
    <row r="4" customHeight="1" spans="1:219">
      <c r="A4" s="15" t="s">
        <v>200</v>
      </c>
      <c r="B4" s="72" t="s">
        <v>404</v>
      </c>
      <c r="C4" s="15" t="s">
        <v>405</v>
      </c>
      <c r="D4" s="15" t="s">
        <v>9</v>
      </c>
      <c r="E4" s="15">
        <v>0.00137</v>
      </c>
      <c r="F4" s="73" t="s">
        <v>406</v>
      </c>
    </row>
    <row r="5" customHeight="1" spans="1:219">
      <c r="A5" s="15" t="s">
        <v>407</v>
      </c>
      <c r="B5" s="72" t="s">
        <v>408</v>
      </c>
      <c r="C5" s="15" t="s">
        <v>405</v>
      </c>
      <c r="D5" s="15" t="s">
        <v>9</v>
      </c>
      <c r="E5" s="15">
        <f>6.44*10^-3</f>
        <v>0.00644</v>
      </c>
      <c r="F5" s="73" t="s">
        <v>406</v>
      </c>
    </row>
    <row r="6" customHeight="1" spans="1:219">
      <c r="A6" s="15" t="s">
        <v>55</v>
      </c>
      <c r="B6" s="72" t="s">
        <v>409</v>
      </c>
      <c r="C6" s="15" t="s">
        <v>91</v>
      </c>
      <c r="D6" s="15" t="s">
        <v>9</v>
      </c>
      <c r="E6" s="22">
        <f>Kv计算!D52</f>
        <v>24.1682408468747</v>
      </c>
    </row>
    <row r="7" customHeight="1" spans="1:219">
      <c r="A7" s="15" t="s">
        <v>86</v>
      </c>
      <c r="B7" s="72" t="s">
        <v>410</v>
      </c>
      <c r="C7" s="15" t="s">
        <v>81</v>
      </c>
      <c r="D7" s="15" t="s">
        <v>9</v>
      </c>
      <c r="E7" s="22">
        <f>Kv计算!D40/1000</f>
        <v>0.15</v>
      </c>
    </row>
    <row r="8" customHeight="1" spans="1:219">
      <c r="A8" s="15" t="s">
        <v>83</v>
      </c>
      <c r="B8" s="72" t="s">
        <v>411</v>
      </c>
      <c r="C8" s="15" t="s">
        <v>81</v>
      </c>
      <c r="D8" s="15" t="s">
        <v>9</v>
      </c>
      <c r="E8" s="74">
        <v>0.003</v>
      </c>
      <c r="F8" s="73" t="s">
        <v>406</v>
      </c>
    </row>
    <row r="9" customHeight="1" spans="1:219">
      <c r="A9" s="15" t="s">
        <v>412</v>
      </c>
      <c r="B9" s="72" t="s">
        <v>413</v>
      </c>
      <c r="C9" s="15" t="s">
        <v>81</v>
      </c>
      <c r="D9" s="15" t="s">
        <v>9</v>
      </c>
      <c r="E9" s="22">
        <f>E7</f>
        <v>0.15</v>
      </c>
    </row>
    <row r="10" customHeight="1" spans="1:219">
      <c r="A10" s="15" t="s">
        <v>414</v>
      </c>
      <c r="B10" s="72" t="s">
        <v>97</v>
      </c>
      <c r="C10" s="15" t="s">
        <v>81</v>
      </c>
      <c r="D10" s="15" t="s">
        <v>9</v>
      </c>
      <c r="E10" s="22">
        <f>Kv计算!D126/1000</f>
        <v>0.15</v>
      </c>
    </row>
    <row r="11" customHeight="1" spans="1:219">
      <c r="A11" s="15" t="s">
        <v>68</v>
      </c>
      <c r="B11" s="72" t="s">
        <v>415</v>
      </c>
      <c r="C11" s="15" t="s">
        <v>416</v>
      </c>
      <c r="D11" s="15" t="s">
        <v>9</v>
      </c>
      <c r="E11" s="22">
        <f>Kv计算!D42</f>
        <v>0.9</v>
      </c>
    </row>
    <row r="12" customHeight="1" spans="1:219">
      <c r="A12" s="15" t="s">
        <v>417</v>
      </c>
      <c r="B12" s="72" t="s">
        <v>418</v>
      </c>
      <c r="C12" s="15" t="s">
        <v>416</v>
      </c>
      <c r="D12" s="15" t="s">
        <v>9</v>
      </c>
      <c r="E12" s="74"/>
    </row>
    <row r="13" ht="28" spans="1:219">
      <c r="A13" s="15" t="s">
        <v>419</v>
      </c>
      <c r="B13" s="75" t="s">
        <v>420</v>
      </c>
      <c r="C13" s="15" t="s">
        <v>416</v>
      </c>
      <c r="D13" s="15" t="s">
        <v>9</v>
      </c>
      <c r="E13" s="22">
        <f>Kv计算!D87</f>
        <v>0.9</v>
      </c>
    </row>
    <row r="14" customHeight="1" spans="1:219">
      <c r="A14" s="15" t="s">
        <v>421</v>
      </c>
      <c r="B14" s="72" t="s">
        <v>71</v>
      </c>
      <c r="C14" s="15" t="s">
        <v>416</v>
      </c>
      <c r="D14" s="15" t="s">
        <v>9</v>
      </c>
      <c r="E14" s="22">
        <f>Kv计算!D86</f>
        <v>1</v>
      </c>
    </row>
    <row r="15" customHeight="1" spans="1:219">
      <c r="A15" s="15" t="s">
        <v>422</v>
      </c>
      <c r="B15" s="72" t="s">
        <v>423</v>
      </c>
      <c r="C15" s="15" t="s">
        <v>81</v>
      </c>
      <c r="D15" s="15" t="s">
        <v>9</v>
      </c>
      <c r="E15" s="74">
        <v>0.03</v>
      </c>
      <c r="F15" s="73" t="s">
        <v>406</v>
      </c>
    </row>
    <row r="16" customHeight="1" spans="1:219">
      <c r="A16" s="15" t="s">
        <v>121</v>
      </c>
      <c r="B16" s="72" t="s">
        <v>424</v>
      </c>
      <c r="C16" s="15" t="s">
        <v>81</v>
      </c>
      <c r="D16" s="15" t="s">
        <v>9</v>
      </c>
      <c r="E16" s="15">
        <v>0.181</v>
      </c>
      <c r="F16" s="73" t="s">
        <v>406</v>
      </c>
    </row>
    <row r="17" customHeight="1" spans="1:6">
      <c r="A17" s="15" t="s">
        <v>147</v>
      </c>
      <c r="B17" s="72" t="s">
        <v>425</v>
      </c>
      <c r="C17" s="15" t="s">
        <v>426</v>
      </c>
      <c r="D17" s="15" t="s">
        <v>9</v>
      </c>
      <c r="E17" s="15">
        <v>19.8</v>
      </c>
      <c r="F17" s="73" t="s">
        <v>406</v>
      </c>
    </row>
    <row r="18" customHeight="1" spans="1:6">
      <c r="A18" s="15" t="s">
        <v>81</v>
      </c>
      <c r="B18" s="72" t="s">
        <v>427</v>
      </c>
      <c r="C18" s="15" t="s">
        <v>428</v>
      </c>
      <c r="D18" s="15" t="s">
        <v>9</v>
      </c>
      <c r="E18" s="15">
        <f>IF(Kv计算!D10="气体",Kv计算!D186/3600,IF(Kv计算!D10="蒸汽",Kv计算!D187/3600,))</f>
        <v>0</v>
      </c>
    </row>
    <row r="19" customHeight="1" spans="1:6">
      <c r="A19" s="15" t="s">
        <v>429</v>
      </c>
      <c r="B19" s="72" t="s">
        <v>430</v>
      </c>
      <c r="C19" s="15" t="s">
        <v>428</v>
      </c>
      <c r="D19" s="15" t="s">
        <v>9</v>
      </c>
      <c r="E19" s="74"/>
    </row>
    <row r="20" customHeight="1" spans="1:6">
      <c r="A20" s="15" t="s">
        <v>431</v>
      </c>
      <c r="B20" s="72" t="s">
        <v>432</v>
      </c>
      <c r="C20" s="15" t="s">
        <v>416</v>
      </c>
      <c r="D20" s="15" t="s">
        <v>9</v>
      </c>
      <c r="E20" s="22">
        <v>0.0049</v>
      </c>
    </row>
    <row r="21" customHeight="1" spans="1:6">
      <c r="A21" s="15" t="s">
        <v>433</v>
      </c>
      <c r="B21" s="72" t="s">
        <v>432</v>
      </c>
      <c r="C21" s="15" t="s">
        <v>416</v>
      </c>
      <c r="D21" s="15" t="s">
        <v>9</v>
      </c>
      <c r="E21" s="22">
        <v>42300</v>
      </c>
    </row>
    <row r="22" customHeight="1" spans="1:6">
      <c r="A22" s="15" t="s">
        <v>434</v>
      </c>
      <c r="B22" s="72" t="s">
        <v>435</v>
      </c>
      <c r="C22" s="15" t="s">
        <v>436</v>
      </c>
      <c r="D22" s="15" t="s">
        <v>9</v>
      </c>
      <c r="E22" s="15">
        <v>6</v>
      </c>
      <c r="F22" s="73" t="s">
        <v>406</v>
      </c>
    </row>
    <row r="23" customHeight="1" spans="1:6">
      <c r="A23" s="15" t="s">
        <v>437</v>
      </c>
      <c r="B23" s="72" t="s">
        <v>438</v>
      </c>
      <c r="C23" s="15" t="s">
        <v>436</v>
      </c>
      <c r="D23" s="15" t="s">
        <v>9</v>
      </c>
      <c r="E23" s="22">
        <v>101325</v>
      </c>
    </row>
    <row r="24" customHeight="1" spans="1:6">
      <c r="A24" s="15" t="s">
        <v>439</v>
      </c>
      <c r="B24" s="72" t="s">
        <v>440</v>
      </c>
      <c r="C24" s="15" t="s">
        <v>436</v>
      </c>
      <c r="D24" s="15" t="s">
        <v>9</v>
      </c>
      <c r="E24" s="22">
        <v>2e-5</v>
      </c>
    </row>
    <row r="25" customHeight="1" spans="1:6">
      <c r="A25" s="15" t="s">
        <v>441</v>
      </c>
      <c r="B25" s="72" t="s">
        <v>442</v>
      </c>
      <c r="C25" s="15" t="s">
        <v>436</v>
      </c>
      <c r="D25" s="15" t="s">
        <v>9</v>
      </c>
      <c r="E25" s="22">
        <v>101325</v>
      </c>
    </row>
    <row r="26" customHeight="1" spans="1:6">
      <c r="A26" s="15" t="s">
        <v>13</v>
      </c>
      <c r="B26" s="72" t="s">
        <v>443</v>
      </c>
      <c r="C26" s="15" t="s">
        <v>436</v>
      </c>
      <c r="D26" s="15" t="s">
        <v>9</v>
      </c>
      <c r="E26" s="22">
        <f>Kv计算!D200*1000</f>
        <v>2100000</v>
      </c>
    </row>
    <row r="27" customHeight="1" spans="1:6">
      <c r="A27" s="15" t="s">
        <v>16</v>
      </c>
      <c r="B27" s="72" t="s">
        <v>444</v>
      </c>
      <c r="C27" s="15" t="s">
        <v>436</v>
      </c>
      <c r="D27" s="15" t="s">
        <v>9</v>
      </c>
      <c r="E27" s="22">
        <f>Kv计算!D201*1000</f>
        <v>200000</v>
      </c>
    </row>
    <row r="28" customHeight="1" spans="1:6">
      <c r="A28" s="15" t="s">
        <v>88</v>
      </c>
      <c r="B28" s="72" t="s">
        <v>445</v>
      </c>
      <c r="C28" s="15" t="s">
        <v>446</v>
      </c>
      <c r="D28" s="15" t="s">
        <v>9</v>
      </c>
      <c r="E28" s="22">
        <v>8314</v>
      </c>
    </row>
    <row r="29" customHeight="1" spans="1:6">
      <c r="A29" s="15" t="s">
        <v>447</v>
      </c>
      <c r="B29" s="72" t="s">
        <v>448</v>
      </c>
      <c r="C29" s="15" t="s">
        <v>40</v>
      </c>
      <c r="D29" s="15"/>
      <c r="E29" s="74"/>
    </row>
    <row r="30" customHeight="1" spans="1:6">
      <c r="A30" s="15" t="s">
        <v>38</v>
      </c>
      <c r="B30" s="72" t="s">
        <v>39</v>
      </c>
      <c r="C30" s="15" t="s">
        <v>40</v>
      </c>
      <c r="D30" s="15" t="s">
        <v>9</v>
      </c>
      <c r="E30" s="22">
        <f>Kv计算!D37</f>
        <v>323.15</v>
      </c>
    </row>
    <row r="31" customHeight="1" spans="1:6">
      <c r="A31" s="15" t="s">
        <v>449</v>
      </c>
      <c r="B31" s="72" t="s">
        <v>450</v>
      </c>
      <c r="C31" s="15" t="s">
        <v>40</v>
      </c>
      <c r="D31" s="15" t="s">
        <v>9</v>
      </c>
      <c r="E31" s="22">
        <f>E30</f>
        <v>323.15</v>
      </c>
    </row>
    <row r="32" customHeight="1" spans="1:6">
      <c r="A32" s="15" t="s">
        <v>451</v>
      </c>
      <c r="B32" s="72" t="s">
        <v>104</v>
      </c>
      <c r="C32" s="15" t="s">
        <v>81</v>
      </c>
      <c r="D32" s="15" t="s">
        <v>9</v>
      </c>
      <c r="E32" s="22">
        <f>Kv计算!D130/1000</f>
        <v>0.00711</v>
      </c>
    </row>
    <row r="33" customHeight="1" spans="1:219">
      <c r="A33" s="15" t="s">
        <v>452</v>
      </c>
      <c r="B33" s="72" t="s">
        <v>453</v>
      </c>
      <c r="C33" s="15" t="s">
        <v>154</v>
      </c>
      <c r="D33" s="15"/>
      <c r="E33" s="22">
        <v>1e-12</v>
      </c>
    </row>
    <row r="34" customHeight="1" spans="1:219">
      <c r="A34" s="15" t="s">
        <v>454</v>
      </c>
      <c r="B34" s="72" t="s">
        <v>455</v>
      </c>
      <c r="C34" s="15" t="s">
        <v>416</v>
      </c>
      <c r="D34" s="15" t="s">
        <v>9</v>
      </c>
      <c r="E34" s="15">
        <v>0.93</v>
      </c>
    </row>
    <row r="35" customHeight="1" spans="1:219">
      <c r="A35" s="15" t="s">
        <v>168</v>
      </c>
      <c r="B35" s="72" t="s">
        <v>169</v>
      </c>
      <c r="C35" s="15" t="s">
        <v>416</v>
      </c>
      <c r="D35" s="15" t="s">
        <v>9</v>
      </c>
      <c r="E35" s="22">
        <f>Kv计算!D30</f>
        <v>1.4</v>
      </c>
    </row>
    <row r="36" customHeight="1" spans="1:219">
      <c r="A36" s="76" t="s">
        <v>21</v>
      </c>
      <c r="B36" s="72" t="s">
        <v>456</v>
      </c>
      <c r="C36" s="15" t="s">
        <v>23</v>
      </c>
      <c r="D36" s="15" t="s">
        <v>9</v>
      </c>
      <c r="E36" s="22">
        <f>Kv计算!D198</f>
        <v>988</v>
      </c>
    </row>
    <row r="37" customHeight="1" spans="1:219">
      <c r="A37" s="76" t="s">
        <v>457</v>
      </c>
      <c r="B37" s="72" t="s">
        <v>458</v>
      </c>
      <c r="C37" s="15" t="s">
        <v>416</v>
      </c>
      <c r="D37" s="15" t="s">
        <v>9</v>
      </c>
      <c r="E37" s="22" t="str">
        <f>IF(Kv计算!D10="气体",Kv计算!D54,"")</f>
        <v/>
      </c>
    </row>
    <row r="38" s="56" customFormat="1" customHeight="1" spans="1:219">
      <c r="A38" s="77" t="s">
        <v>459</v>
      </c>
      <c r="B38" s="77"/>
      <c r="C38" s="77"/>
      <c r="D38" s="65" t="s">
        <v>460</v>
      </c>
      <c r="E38" s="20" t="s">
        <v>244</v>
      </c>
      <c r="F38" s="62"/>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63"/>
      <c r="DR38" s="63"/>
      <c r="DS38" s="63"/>
      <c r="DT38" s="63"/>
      <c r="DU38" s="63"/>
      <c r="DV38" s="63"/>
      <c r="DW38" s="63"/>
      <c r="DX38" s="63"/>
      <c r="DY38" s="63"/>
      <c r="DZ38" s="63"/>
      <c r="EA38" s="63"/>
      <c r="EB38" s="63"/>
      <c r="EC38" s="63"/>
      <c r="ED38" s="63"/>
      <c r="EE38" s="63"/>
      <c r="EF38" s="63"/>
      <c r="EG38" s="63"/>
      <c r="EH38" s="63"/>
      <c r="EI38" s="63"/>
      <c r="EJ38" s="63"/>
      <c r="EK38" s="63"/>
      <c r="EL38" s="63"/>
      <c r="EM38" s="63"/>
      <c r="EN38" s="63"/>
      <c r="EO38" s="63"/>
      <c r="EP38" s="63"/>
      <c r="EQ38" s="63"/>
      <c r="ER38" s="63"/>
      <c r="ES38" s="63"/>
      <c r="ET38" s="63"/>
      <c r="EU38" s="63"/>
      <c r="EV38" s="63"/>
      <c r="EW38" s="63"/>
      <c r="EX38" s="63"/>
      <c r="EY38" s="63"/>
      <c r="EZ38" s="63"/>
      <c r="FA38" s="63"/>
      <c r="FB38" s="63"/>
      <c r="FC38" s="63"/>
      <c r="FD38" s="63"/>
      <c r="FE38" s="63"/>
      <c r="FF38" s="63"/>
      <c r="FG38" s="63"/>
      <c r="FH38" s="63"/>
      <c r="FI38" s="63"/>
      <c r="FJ38" s="63"/>
      <c r="FK38" s="63"/>
      <c r="FL38" s="63"/>
      <c r="FM38" s="63"/>
      <c r="FN38" s="63"/>
      <c r="FO38" s="63"/>
      <c r="FP38" s="63"/>
      <c r="FQ38" s="63"/>
      <c r="FR38" s="63"/>
      <c r="FS38" s="63"/>
      <c r="FT38" s="63"/>
      <c r="FU38" s="63"/>
      <c r="FV38" s="63"/>
      <c r="FW38" s="63"/>
      <c r="FX38" s="63"/>
      <c r="FY38" s="63"/>
      <c r="FZ38" s="63"/>
      <c r="GA38" s="63"/>
      <c r="GB38" s="63"/>
      <c r="GC38" s="63"/>
      <c r="GD38" s="63"/>
      <c r="GE38" s="63"/>
      <c r="GF38" s="63"/>
      <c r="GG38" s="63"/>
      <c r="GH38" s="63"/>
      <c r="GI38" s="63"/>
      <c r="GJ38" s="63"/>
      <c r="GK38" s="63"/>
      <c r="GL38" s="63"/>
      <c r="GM38" s="63"/>
      <c r="GN38" s="63"/>
      <c r="GO38" s="63"/>
      <c r="GP38" s="63"/>
      <c r="GQ38" s="63"/>
      <c r="GR38" s="63"/>
      <c r="GS38" s="63"/>
      <c r="GT38" s="63"/>
      <c r="GU38" s="63"/>
      <c r="GV38" s="63"/>
      <c r="GW38" s="63"/>
      <c r="GX38" s="63"/>
      <c r="GY38" s="63"/>
      <c r="GZ38" s="63"/>
      <c r="HA38" s="63"/>
      <c r="HB38" s="63"/>
      <c r="HC38" s="63"/>
      <c r="HD38" s="63"/>
      <c r="HE38" s="63"/>
      <c r="HF38" s="63"/>
      <c r="HG38" s="63"/>
      <c r="HH38" s="63"/>
      <c r="HI38" s="63"/>
      <c r="HJ38" s="63"/>
      <c r="HK38" s="63"/>
    </row>
    <row r="39" ht="47.1" customHeight="1" spans="1:219">
      <c r="A39" s="15" t="s">
        <v>461</v>
      </c>
      <c r="B39" s="72" t="s">
        <v>462</v>
      </c>
      <c r="C39" s="15" t="s">
        <v>436</v>
      </c>
      <c r="D39" s="15"/>
      <c r="E39" s="22">
        <f>E26-(E26-E27)/E11^2</f>
        <v>-245679.012345679</v>
      </c>
    </row>
    <row r="40" ht="48.95" customHeight="1" spans="1:219">
      <c r="A40" s="15" t="s">
        <v>463</v>
      </c>
      <c r="B40" s="72" t="s">
        <v>464</v>
      </c>
      <c r="C40" s="15" t="s">
        <v>436</v>
      </c>
      <c r="D40" s="15"/>
      <c r="E40" s="22">
        <f>E26*(2/(E35+1))^(E35/(E35-1))</f>
        <v>1109391.75420607</v>
      </c>
    </row>
    <row r="41" ht="32.1" customHeight="1" spans="1:219">
      <c r="A41" s="15" t="s">
        <v>465</v>
      </c>
      <c r="B41" s="72" t="s">
        <v>466</v>
      </c>
      <c r="C41" s="15" t="s">
        <v>436</v>
      </c>
      <c r="D41" s="15"/>
      <c r="E41" s="22">
        <f>E26-E11^2*(E26-E40)</f>
        <v>1297607.32090691</v>
      </c>
    </row>
    <row r="42" ht="50.1" customHeight="1" spans="1:219">
      <c r="A42" s="76" t="s">
        <v>467</v>
      </c>
      <c r="B42" s="72" t="s">
        <v>468</v>
      </c>
      <c r="C42" s="15" t="s">
        <v>416</v>
      </c>
      <c r="D42" s="15"/>
      <c r="E42" s="22">
        <f>E40/E41</f>
        <v>0.854951830443357</v>
      </c>
    </row>
    <row r="43" ht="53.1" customHeight="1" spans="1:219">
      <c r="A43" s="15" t="s">
        <v>469</v>
      </c>
      <c r="B43" s="72" t="s">
        <v>470</v>
      </c>
      <c r="C43" s="15" t="s">
        <v>436</v>
      </c>
      <c r="D43" s="15"/>
      <c r="E43" s="22">
        <f>E26/E42*(1/E35)^(E35/(E35-1))</f>
        <v>756535.868485272</v>
      </c>
    </row>
    <row r="44" ht="42.95" customHeight="1" spans="1:219">
      <c r="A44" s="15" t="s">
        <v>471</v>
      </c>
      <c r="B44" s="72" t="s">
        <v>472</v>
      </c>
      <c r="C44" s="15" t="s">
        <v>436</v>
      </c>
      <c r="D44" s="15"/>
      <c r="E44" s="22">
        <f>E26/22/E42</f>
        <v>111649.033378927</v>
      </c>
      <c r="G44" s="73" t="s">
        <v>473</v>
      </c>
    </row>
    <row r="45" customHeight="1" spans="1:219">
      <c r="A45" s="15" t="s">
        <v>108</v>
      </c>
      <c r="B45" s="72" t="s">
        <v>474</v>
      </c>
      <c r="C45" s="15" t="s">
        <v>416</v>
      </c>
      <c r="D45" s="15" t="s">
        <v>9</v>
      </c>
      <c r="E45" s="22">
        <f>Kv计算!D132</f>
        <v>0.42</v>
      </c>
      <c r="F45" s="73" t="s">
        <v>406</v>
      </c>
    </row>
    <row r="46" customHeight="1" spans="1:219">
      <c r="A46" s="15" t="s">
        <v>115</v>
      </c>
      <c r="B46" s="72" t="s">
        <v>475</v>
      </c>
      <c r="C46" s="15" t="s">
        <v>81</v>
      </c>
      <c r="D46" s="15" t="s">
        <v>9</v>
      </c>
      <c r="E46" s="22">
        <f>Kv计算!D134</f>
        <v>3.62061799183753</v>
      </c>
    </row>
    <row r="47" customHeight="1" spans="1:219">
      <c r="A47" s="15" t="s">
        <v>476</v>
      </c>
      <c r="B47" s="72" t="s">
        <v>477</v>
      </c>
      <c r="C47" s="15" t="s">
        <v>81</v>
      </c>
      <c r="D47" s="15" t="s">
        <v>9</v>
      </c>
      <c r="E47" s="22">
        <f>Kv计算!D135</f>
        <v>23.3043493531922</v>
      </c>
    </row>
    <row r="48" ht="30" customHeight="1" spans="1:219">
      <c r="A48" s="15" t="s">
        <v>478</v>
      </c>
      <c r="B48" s="72" t="s">
        <v>479</v>
      </c>
      <c r="C48" s="15" t="s">
        <v>81</v>
      </c>
      <c r="D48" s="15"/>
      <c r="E48" s="22">
        <f>IF(E38="标准型",E20*E45*SQRT(E6*E11),E20*E45*SQRT(E101*E11))</f>
        <v>0.00959818563602331</v>
      </c>
    </row>
    <row r="49" customHeight="1" spans="1:219">
      <c r="A49" s="15" t="s">
        <v>480</v>
      </c>
      <c r="B49" s="72" t="s">
        <v>481</v>
      </c>
      <c r="C49" s="15" t="s">
        <v>416</v>
      </c>
      <c r="D49" s="15"/>
      <c r="E49" s="15">
        <v>0.25</v>
      </c>
      <c r="F49" s="73" t="s">
        <v>482</v>
      </c>
    </row>
    <row r="50" s="56" customFormat="1" customHeight="1" spans="1:219">
      <c r="A50" s="78" t="s">
        <v>483</v>
      </c>
      <c r="B50" s="79"/>
      <c r="C50" s="80"/>
      <c r="D50" s="81" t="s">
        <v>484</v>
      </c>
      <c r="E50" s="82" t="str">
        <f>IF(E27&gt;=E41,"是","否")</f>
        <v>否</v>
      </c>
      <c r="F50" s="62"/>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c r="CW50" s="63"/>
      <c r="CX50" s="63"/>
      <c r="CY50" s="63"/>
      <c r="CZ50" s="63"/>
      <c r="DA50" s="63"/>
      <c r="DB50" s="63"/>
      <c r="DC50" s="63"/>
      <c r="DD50" s="63"/>
      <c r="DE50" s="63"/>
      <c r="DF50" s="63"/>
      <c r="DG50" s="63"/>
      <c r="DH50" s="63"/>
      <c r="DI50" s="63"/>
      <c r="DJ50" s="63"/>
      <c r="DK50" s="63"/>
      <c r="DL50" s="63"/>
      <c r="DM50" s="63"/>
      <c r="DN50" s="63"/>
      <c r="DO50" s="63"/>
      <c r="DP50" s="63"/>
      <c r="DQ50" s="63"/>
      <c r="DR50" s="63"/>
      <c r="DS50" s="63"/>
      <c r="DT50" s="63"/>
      <c r="DU50" s="63"/>
      <c r="DV50" s="63"/>
      <c r="DW50" s="63"/>
      <c r="DX50" s="63"/>
      <c r="DY50" s="63"/>
      <c r="DZ50" s="63"/>
      <c r="EA50" s="63"/>
      <c r="EB50" s="63"/>
      <c r="EC50" s="63"/>
      <c r="ED50" s="63"/>
      <c r="EE50" s="63"/>
      <c r="EF50" s="63"/>
      <c r="EG50" s="63"/>
      <c r="EH50" s="63"/>
      <c r="EI50" s="63"/>
      <c r="EJ50" s="63"/>
      <c r="EK50" s="63"/>
      <c r="EL50" s="63"/>
      <c r="EM50" s="63"/>
      <c r="EN50" s="63"/>
      <c r="EO50" s="63"/>
      <c r="EP50" s="63"/>
      <c r="EQ50" s="63"/>
      <c r="ER50" s="63"/>
      <c r="ES50" s="63"/>
      <c r="ET50" s="63"/>
      <c r="EU50" s="63"/>
      <c r="EV50" s="63"/>
      <c r="EW50" s="63"/>
      <c r="EX50" s="63"/>
      <c r="EY50" s="63"/>
      <c r="EZ50" s="63"/>
      <c r="FA50" s="63"/>
      <c r="FB50" s="63"/>
      <c r="FC50" s="63"/>
      <c r="FD50" s="63"/>
      <c r="FE50" s="63"/>
      <c r="FF50" s="63"/>
      <c r="FG50" s="63"/>
      <c r="FH50" s="63"/>
      <c r="FI50" s="63"/>
      <c r="FJ50" s="63"/>
      <c r="FK50" s="63"/>
      <c r="FL50" s="63"/>
      <c r="FM50" s="63"/>
      <c r="FN50" s="63"/>
      <c r="FO50" s="63"/>
      <c r="FP50" s="63"/>
      <c r="FQ50" s="63"/>
      <c r="FR50" s="63"/>
      <c r="FS50" s="63"/>
      <c r="FT50" s="63"/>
      <c r="FU50" s="63"/>
      <c r="FV50" s="63"/>
      <c r="FW50" s="63"/>
      <c r="FX50" s="63"/>
      <c r="FY50" s="63"/>
      <c r="FZ50" s="63"/>
      <c r="GA50" s="63"/>
      <c r="GB50" s="63"/>
      <c r="GC50" s="63"/>
      <c r="GD50" s="63"/>
      <c r="GE50" s="63"/>
      <c r="GF50" s="63"/>
      <c r="GG50" s="63"/>
      <c r="GH50" s="63"/>
      <c r="GI50" s="63"/>
      <c r="GJ50" s="63"/>
      <c r="GK50" s="63"/>
      <c r="GL50" s="63"/>
      <c r="GM50" s="63"/>
      <c r="GN50" s="63"/>
      <c r="GO50" s="63"/>
      <c r="GP50" s="63"/>
      <c r="GQ50" s="63"/>
      <c r="GR50" s="63"/>
      <c r="GS50" s="63"/>
      <c r="GT50" s="63"/>
      <c r="GU50" s="63"/>
      <c r="GV50" s="63"/>
      <c r="GW50" s="63"/>
      <c r="GX50" s="63"/>
      <c r="GY50" s="63"/>
      <c r="GZ50" s="63"/>
      <c r="HA50" s="63"/>
      <c r="HB50" s="63"/>
      <c r="HC50" s="63"/>
      <c r="HD50" s="63"/>
      <c r="HE50" s="63"/>
      <c r="HF50" s="63"/>
      <c r="HG50" s="63"/>
      <c r="HH50" s="63"/>
      <c r="HI50" s="63"/>
      <c r="HJ50" s="63"/>
      <c r="HK50" s="63"/>
    </row>
    <row r="51" ht="59.1" customHeight="1" spans="1:219">
      <c r="A51" s="15" t="s">
        <v>485</v>
      </c>
      <c r="B51" s="72" t="s">
        <v>486</v>
      </c>
      <c r="C51" s="15" t="s">
        <v>62</v>
      </c>
      <c r="D51" s="15"/>
      <c r="E51" s="22" t="e">
        <f>SQRT(2*(E35/(E35-1))*(1-(E39/E26)^((E35-1)/E35))*E26/E36)</f>
        <v>#NUM!</v>
      </c>
      <c r="L51" s="51"/>
    </row>
    <row r="52" ht="45.95" customHeight="1" spans="1:219">
      <c r="A52" s="15" t="s">
        <v>487</v>
      </c>
      <c r="B52" s="72" t="s">
        <v>488</v>
      </c>
      <c r="C52" s="15" t="s">
        <v>154</v>
      </c>
      <c r="D52" s="15"/>
      <c r="E52" s="22" t="e">
        <f>E18*E51^2/2</f>
        <v>#NUM!</v>
      </c>
    </row>
    <row r="53" ht="48.95" customHeight="1" spans="1:219">
      <c r="A53" s="15" t="s">
        <v>489</v>
      </c>
      <c r="B53" s="72" t="s">
        <v>490</v>
      </c>
      <c r="C53" s="15" t="s">
        <v>40</v>
      </c>
      <c r="D53" s="15"/>
      <c r="E53" s="22" t="e">
        <f>E30*(E39/E26)^((E35-1)/E35)</f>
        <v>#NUM!</v>
      </c>
    </row>
    <row r="54" ht="45.95" customHeight="1" spans="1:219">
      <c r="A54" s="15" t="s">
        <v>491</v>
      </c>
      <c r="B54" s="72" t="s">
        <v>492</v>
      </c>
      <c r="C54" s="15" t="s">
        <v>62</v>
      </c>
      <c r="D54" s="15"/>
      <c r="E54" s="22" t="e">
        <f>SQRT(E35*E28*E53/E17)</f>
        <v>#NUM!</v>
      </c>
    </row>
    <row r="55" ht="47.1" customHeight="1" spans="1:219">
      <c r="A55" s="15" t="s">
        <v>493</v>
      </c>
      <c r="B55" s="72" t="s">
        <v>494</v>
      </c>
      <c r="C55" s="15" t="s">
        <v>416</v>
      </c>
      <c r="D55" s="15"/>
      <c r="E55" s="22" t="e">
        <f>E51/E54</f>
        <v>#NUM!</v>
      </c>
    </row>
    <row r="56" customHeight="1" spans="1:219">
      <c r="A56" s="76" t="s">
        <v>495</v>
      </c>
      <c r="B56" s="72" t="s">
        <v>496</v>
      </c>
      <c r="C56" s="15" t="s">
        <v>416</v>
      </c>
      <c r="D56" s="15"/>
      <c r="E56" s="22" t="e">
        <f>10^-4*E55^3.6</f>
        <v>#NUM!</v>
      </c>
    </row>
    <row r="57" customHeight="1" spans="1:219">
      <c r="A57" s="15" t="s">
        <v>497</v>
      </c>
      <c r="B57" s="72" t="s">
        <v>498</v>
      </c>
      <c r="C57" s="15" t="s">
        <v>154</v>
      </c>
      <c r="D57" s="15"/>
      <c r="E57" s="22" t="e">
        <f>E56*E49*E52*E11^2</f>
        <v>#NUM!</v>
      </c>
    </row>
    <row r="58" ht="48.95" customHeight="1" spans="1:219">
      <c r="A58" s="15" t="s">
        <v>499</v>
      </c>
      <c r="B58" s="72" t="s">
        <v>500</v>
      </c>
      <c r="C58" s="15" t="s">
        <v>65</v>
      </c>
      <c r="D58" s="15"/>
      <c r="E58" s="22" t="e">
        <f>10*LOG10(E57/E33)</f>
        <v>#NUM!</v>
      </c>
    </row>
    <row r="59" ht="51" customHeight="1" spans="1:219">
      <c r="A59" s="15" t="s">
        <v>501</v>
      </c>
      <c r="B59" s="72" t="s">
        <v>502</v>
      </c>
      <c r="C59" s="15" t="s">
        <v>503</v>
      </c>
      <c r="D59" s="15"/>
      <c r="E59" s="22" t="e">
        <f>0.2*E51/E48</f>
        <v>#NUM!</v>
      </c>
    </row>
    <row r="60" customHeight="1" spans="1:219">
      <c r="A60" s="70" t="s">
        <v>504</v>
      </c>
      <c r="B60" s="70"/>
      <c r="C60" s="70"/>
      <c r="D60" s="70"/>
      <c r="E60" s="71"/>
    </row>
    <row r="61" ht="50.1" customHeight="1" spans="1:219">
      <c r="A61" s="15" t="s">
        <v>505</v>
      </c>
      <c r="B61" s="72" t="s">
        <v>506</v>
      </c>
      <c r="C61" s="15" t="s">
        <v>40</v>
      </c>
      <c r="D61" s="15"/>
      <c r="E61" s="22">
        <f>2*E30/(1+E35)</f>
        <v>269.291666666667</v>
      </c>
    </row>
    <row r="62" ht="48" customHeight="1" spans="1:219">
      <c r="A62" s="15" t="s">
        <v>507</v>
      </c>
      <c r="B62" s="72" t="s">
        <v>508</v>
      </c>
      <c r="C62" s="15" t="s">
        <v>62</v>
      </c>
      <c r="D62" s="15"/>
      <c r="E62" s="22">
        <f>SQRT(E35*E28*E61/E17)</f>
        <v>397.876134431519</v>
      </c>
    </row>
    <row r="63" ht="44.1" customHeight="1" spans="1:219">
      <c r="A63" s="15" t="s">
        <v>509</v>
      </c>
      <c r="B63" s="72" t="s">
        <v>510</v>
      </c>
      <c r="C63" s="15" t="s">
        <v>154</v>
      </c>
      <c r="D63" s="15"/>
      <c r="E63" s="22">
        <f>E18*E62^2/2</f>
        <v>0</v>
      </c>
    </row>
    <row r="64" ht="54.95" customHeight="1" spans="1:219">
      <c r="A64" s="15" t="s">
        <v>511</v>
      </c>
      <c r="B64" s="72" t="s">
        <v>512</v>
      </c>
      <c r="C64" s="15" t="s">
        <v>416</v>
      </c>
      <c r="D64" s="15"/>
      <c r="E64" s="22">
        <f>SQRT(2/(E35-1)*((E26/(E42*E27))^((E35-1)/E35)-1))</f>
        <v>2.2885054756905</v>
      </c>
    </row>
    <row r="65" s="56" customFormat="1" customHeight="1" spans="1:219">
      <c r="A65" s="78" t="s">
        <v>513</v>
      </c>
      <c r="B65" s="79"/>
      <c r="C65" s="80"/>
      <c r="D65" s="81" t="s">
        <v>514</v>
      </c>
      <c r="E65" s="82" t="str">
        <f>IF(AND(E27&lt;E41,E27&gt;=E40),"是","否")</f>
        <v>否</v>
      </c>
      <c r="F65" s="62"/>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c r="CQ65" s="63"/>
      <c r="CR65" s="63"/>
      <c r="CS65" s="63"/>
      <c r="CT65" s="63"/>
      <c r="CU65" s="63"/>
      <c r="CV65" s="63"/>
      <c r="CW65" s="63"/>
      <c r="CX65" s="63"/>
      <c r="CY65" s="63"/>
      <c r="CZ65" s="63"/>
      <c r="DA65" s="63"/>
      <c r="DB65" s="63"/>
      <c r="DC65" s="63"/>
      <c r="DD65" s="63"/>
      <c r="DE65" s="63"/>
      <c r="DF65" s="63"/>
      <c r="DG65" s="63"/>
      <c r="DH65" s="63"/>
      <c r="DI65" s="63"/>
      <c r="DJ65" s="63"/>
      <c r="DK65" s="63"/>
      <c r="DL65" s="63"/>
      <c r="DM65" s="63"/>
      <c r="DN65" s="63"/>
      <c r="DO65" s="63"/>
      <c r="DP65" s="63"/>
      <c r="DQ65" s="63"/>
      <c r="DR65" s="63"/>
      <c r="DS65" s="63"/>
      <c r="DT65" s="63"/>
      <c r="DU65" s="63"/>
      <c r="DV65" s="63"/>
      <c r="DW65" s="63"/>
      <c r="DX65" s="63"/>
      <c r="DY65" s="63"/>
      <c r="DZ65" s="63"/>
      <c r="EA65" s="63"/>
      <c r="EB65" s="63"/>
      <c r="EC65" s="63"/>
      <c r="ED65" s="63"/>
      <c r="EE65" s="63"/>
      <c r="EF65" s="63"/>
      <c r="EG65" s="63"/>
      <c r="EH65" s="63"/>
      <c r="EI65" s="63"/>
      <c r="EJ65" s="63"/>
      <c r="EK65" s="63"/>
      <c r="EL65" s="63"/>
      <c r="EM65" s="63"/>
      <c r="EN65" s="63"/>
      <c r="EO65" s="63"/>
      <c r="EP65" s="63"/>
      <c r="EQ65" s="63"/>
      <c r="ER65" s="63"/>
      <c r="ES65" s="63"/>
      <c r="ET65" s="63"/>
      <c r="EU65" s="63"/>
      <c r="EV65" s="63"/>
      <c r="EW65" s="63"/>
      <c r="EX65" s="63"/>
      <c r="EY65" s="63"/>
      <c r="EZ65" s="63"/>
      <c r="FA65" s="63"/>
      <c r="FB65" s="63"/>
      <c r="FC65" s="63"/>
      <c r="FD65" s="63"/>
      <c r="FE65" s="63"/>
      <c r="FF65" s="63"/>
      <c r="FG65" s="63"/>
      <c r="FH65" s="63"/>
      <c r="FI65" s="63"/>
      <c r="FJ65" s="63"/>
      <c r="FK65" s="63"/>
      <c r="FL65" s="63"/>
      <c r="FM65" s="63"/>
      <c r="FN65" s="63"/>
      <c r="FO65" s="63"/>
      <c r="FP65" s="63"/>
      <c r="FQ65" s="63"/>
      <c r="FR65" s="63"/>
      <c r="FS65" s="63"/>
      <c r="FT65" s="63"/>
      <c r="FU65" s="63"/>
      <c r="FV65" s="63"/>
      <c r="FW65" s="63"/>
      <c r="FX65" s="63"/>
      <c r="FY65" s="63"/>
      <c r="FZ65" s="63"/>
      <c r="GA65" s="63"/>
      <c r="GB65" s="63"/>
      <c r="GC65" s="63"/>
      <c r="GD65" s="63"/>
      <c r="GE65" s="63"/>
      <c r="GF65" s="63"/>
      <c r="GG65" s="63"/>
      <c r="GH65" s="63"/>
      <c r="GI65" s="63"/>
      <c r="GJ65" s="63"/>
      <c r="GK65" s="63"/>
      <c r="GL65" s="63"/>
      <c r="GM65" s="63"/>
      <c r="GN65" s="63"/>
      <c r="GO65" s="63"/>
      <c r="GP65" s="63"/>
      <c r="GQ65" s="63"/>
      <c r="GR65" s="63"/>
      <c r="GS65" s="63"/>
      <c r="GT65" s="63"/>
      <c r="GU65" s="63"/>
      <c r="GV65" s="63"/>
      <c r="GW65" s="63"/>
      <c r="GX65" s="63"/>
      <c r="GY65" s="63"/>
      <c r="GZ65" s="63"/>
      <c r="HA65" s="63"/>
      <c r="HB65" s="63"/>
      <c r="HC65" s="63"/>
      <c r="HD65" s="63"/>
      <c r="HE65" s="63"/>
      <c r="HF65" s="63"/>
      <c r="HG65" s="63"/>
      <c r="HH65" s="63"/>
      <c r="HI65" s="63"/>
      <c r="HJ65" s="63"/>
      <c r="HK65" s="63"/>
    </row>
    <row r="66" ht="27" customHeight="1" spans="1:219">
      <c r="A66" s="76" t="s">
        <v>515</v>
      </c>
      <c r="B66" s="72" t="s">
        <v>496</v>
      </c>
      <c r="C66" s="15" t="s">
        <v>416</v>
      </c>
      <c r="D66" s="15"/>
      <c r="E66" s="22">
        <f>10^-4*E64^(6.6*E11^2)</f>
        <v>0.00835920077106453</v>
      </c>
    </row>
    <row r="67" ht="48" customHeight="1" spans="1:219">
      <c r="A67" s="15" t="s">
        <v>497</v>
      </c>
      <c r="B67" s="72" t="s">
        <v>498</v>
      </c>
      <c r="C67" s="15" t="s">
        <v>154</v>
      </c>
      <c r="D67" s="15"/>
      <c r="E67" s="22">
        <f>E66*E49*E63*(E26-E27)/(E26-E40)</f>
        <v>0</v>
      </c>
    </row>
    <row r="68" ht="45.95" customHeight="1" spans="1:219">
      <c r="A68" s="15" t="s">
        <v>501</v>
      </c>
      <c r="B68" s="72" t="s">
        <v>502</v>
      </c>
      <c r="C68" s="15" t="s">
        <v>503</v>
      </c>
      <c r="D68" s="15"/>
      <c r="E68" s="22">
        <f>0.2*E64*E62/E48</f>
        <v>18973.2048706312</v>
      </c>
    </row>
    <row r="69" s="56" customFormat="1" customHeight="1" spans="1:219">
      <c r="A69" s="78" t="s">
        <v>516</v>
      </c>
      <c r="B69" s="79"/>
      <c r="C69" s="80"/>
      <c r="D69" s="81" t="s">
        <v>517</v>
      </c>
      <c r="E69" s="82" t="str">
        <f>IF(AND(E27&gt;=E43,E27&lt;E40),"是","否")</f>
        <v>否</v>
      </c>
      <c r="F69" s="62"/>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c r="CR69" s="63"/>
      <c r="CS69" s="63"/>
      <c r="CT69" s="63"/>
      <c r="CU69" s="63"/>
      <c r="CV69" s="63"/>
      <c r="CW69" s="63"/>
      <c r="CX69" s="63"/>
      <c r="CY69" s="63"/>
      <c r="CZ69" s="63"/>
      <c r="DA69" s="63"/>
      <c r="DB69" s="63"/>
      <c r="DC69" s="63"/>
      <c r="DD69" s="63"/>
      <c r="DE69" s="63"/>
      <c r="DF69" s="63"/>
      <c r="DG69" s="63"/>
      <c r="DH69" s="63"/>
      <c r="DI69" s="63"/>
      <c r="DJ69" s="63"/>
      <c r="DK69" s="63"/>
      <c r="DL69" s="63"/>
      <c r="DM69" s="63"/>
      <c r="DN69" s="63"/>
      <c r="DO69" s="63"/>
      <c r="DP69" s="63"/>
      <c r="DQ69" s="63"/>
      <c r="DR69" s="63"/>
      <c r="DS69" s="63"/>
      <c r="DT69" s="63"/>
      <c r="DU69" s="63"/>
      <c r="DV69" s="63"/>
      <c r="DW69" s="63"/>
      <c r="DX69" s="63"/>
      <c r="DY69" s="63"/>
      <c r="DZ69" s="63"/>
      <c r="EA69" s="63"/>
      <c r="EB69" s="63"/>
      <c r="EC69" s="63"/>
      <c r="ED69" s="63"/>
      <c r="EE69" s="63"/>
      <c r="EF69" s="63"/>
      <c r="EG69" s="63"/>
      <c r="EH69" s="63"/>
      <c r="EI69" s="63"/>
      <c r="EJ69" s="63"/>
      <c r="EK69" s="63"/>
      <c r="EL69" s="63"/>
      <c r="EM69" s="63"/>
      <c r="EN69" s="63"/>
      <c r="EO69" s="63"/>
      <c r="EP69" s="63"/>
      <c r="EQ69" s="63"/>
      <c r="ER69" s="63"/>
      <c r="ES69" s="63"/>
      <c r="ET69" s="63"/>
      <c r="EU69" s="63"/>
      <c r="EV69" s="63"/>
      <c r="EW69" s="63"/>
      <c r="EX69" s="63"/>
      <c r="EY69" s="63"/>
      <c r="EZ69" s="63"/>
      <c r="FA69" s="63"/>
      <c r="FB69" s="63"/>
      <c r="FC69" s="63"/>
      <c r="FD69" s="63"/>
      <c r="FE69" s="63"/>
      <c r="FF69" s="63"/>
      <c r="FG69" s="63"/>
      <c r="FH69" s="63"/>
      <c r="FI69" s="63"/>
      <c r="FJ69" s="63"/>
      <c r="FK69" s="63"/>
      <c r="FL69" s="63"/>
      <c r="FM69" s="63"/>
      <c r="FN69" s="63"/>
      <c r="FO69" s="63"/>
      <c r="FP69" s="63"/>
      <c r="FQ69" s="63"/>
      <c r="FR69" s="63"/>
      <c r="FS69" s="63"/>
      <c r="FT69" s="63"/>
      <c r="FU69" s="63"/>
      <c r="FV69" s="63"/>
      <c r="FW69" s="63"/>
      <c r="FX69" s="63"/>
      <c r="FY69" s="63"/>
      <c r="FZ69" s="63"/>
      <c r="GA69" s="63"/>
      <c r="GB69" s="63"/>
      <c r="GC69" s="63"/>
      <c r="GD69" s="63"/>
      <c r="GE69" s="63"/>
      <c r="GF69" s="63"/>
      <c r="GG69" s="63"/>
      <c r="GH69" s="63"/>
      <c r="GI69" s="63"/>
      <c r="GJ69" s="63"/>
      <c r="GK69" s="63"/>
      <c r="GL69" s="63"/>
      <c r="GM69" s="63"/>
      <c r="GN69" s="63"/>
      <c r="GO69" s="63"/>
      <c r="GP69" s="63"/>
      <c r="GQ69" s="63"/>
      <c r="GR69" s="63"/>
      <c r="GS69" s="63"/>
      <c r="GT69" s="63"/>
      <c r="GU69" s="63"/>
      <c r="GV69" s="63"/>
      <c r="GW69" s="63"/>
      <c r="GX69" s="63"/>
      <c r="GY69" s="63"/>
      <c r="GZ69" s="63"/>
      <c r="HA69" s="63"/>
      <c r="HB69" s="63"/>
      <c r="HC69" s="63"/>
      <c r="HD69" s="63"/>
      <c r="HE69" s="63"/>
      <c r="HF69" s="63"/>
      <c r="HG69" s="63"/>
      <c r="HH69" s="63"/>
      <c r="HI69" s="63"/>
      <c r="HJ69" s="63"/>
      <c r="HK69" s="63"/>
    </row>
    <row r="70" ht="27" customHeight="1" spans="1:219">
      <c r="A70" s="76" t="s">
        <v>518</v>
      </c>
      <c r="B70" s="72" t="s">
        <v>496</v>
      </c>
      <c r="C70" s="15" t="s">
        <v>416</v>
      </c>
      <c r="D70" s="15"/>
      <c r="E70" s="22">
        <f>10^-4*E64^(6.6*E11^2)</f>
        <v>0.00835920077106453</v>
      </c>
    </row>
    <row r="71" customHeight="1" spans="1:219">
      <c r="A71" s="15" t="s">
        <v>497</v>
      </c>
      <c r="B71" s="72" t="s">
        <v>498</v>
      </c>
      <c r="C71" s="15" t="s">
        <v>154</v>
      </c>
      <c r="D71" s="15"/>
      <c r="E71" s="22">
        <f>E70*E49*E63</f>
        <v>0</v>
      </c>
    </row>
    <row r="72" ht="45.95" customHeight="1" spans="1:219">
      <c r="A72" s="15" t="s">
        <v>501</v>
      </c>
      <c r="B72" s="72" t="s">
        <v>502</v>
      </c>
      <c r="C72" s="15" t="s">
        <v>503</v>
      </c>
      <c r="D72" s="15"/>
      <c r="E72" s="22">
        <f>0.2*E64*E62/E48</f>
        <v>18973.2048706312</v>
      </c>
    </row>
    <row r="73" s="56" customFormat="1" customHeight="1" spans="1:219">
      <c r="A73" s="78" t="s">
        <v>519</v>
      </c>
      <c r="B73" s="79"/>
      <c r="C73" s="80"/>
      <c r="D73" s="81" t="s">
        <v>520</v>
      </c>
      <c r="E73" s="82" t="str">
        <f>IF(AND(E27&gt;=E44,E27&lt;E43),"是","否")</f>
        <v>是</v>
      </c>
      <c r="F73" s="62"/>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c r="CR73" s="63"/>
      <c r="CS73" s="63"/>
      <c r="CT73" s="63"/>
      <c r="CU73" s="63"/>
      <c r="CV73" s="63"/>
      <c r="CW73" s="63"/>
      <c r="CX73" s="63"/>
      <c r="CY73" s="63"/>
      <c r="CZ73" s="63"/>
      <c r="DA73" s="63"/>
      <c r="DB73" s="63"/>
      <c r="DC73" s="63"/>
      <c r="DD73" s="63"/>
      <c r="DE73" s="63"/>
      <c r="DF73" s="63"/>
      <c r="DG73" s="63"/>
      <c r="DH73" s="63"/>
      <c r="DI73" s="63"/>
      <c r="DJ73" s="63"/>
      <c r="DK73" s="63"/>
      <c r="DL73" s="63"/>
      <c r="DM73" s="63"/>
      <c r="DN73" s="63"/>
      <c r="DO73" s="63"/>
      <c r="DP73" s="63"/>
      <c r="DQ73" s="63"/>
      <c r="DR73" s="63"/>
      <c r="DS73" s="63"/>
      <c r="DT73" s="63"/>
      <c r="DU73" s="63"/>
      <c r="DV73" s="63"/>
      <c r="DW73" s="63"/>
      <c r="DX73" s="63"/>
      <c r="DY73" s="63"/>
      <c r="DZ73" s="63"/>
      <c r="EA73" s="63"/>
      <c r="EB73" s="63"/>
      <c r="EC73" s="63"/>
      <c r="ED73" s="63"/>
      <c r="EE73" s="63"/>
      <c r="EF73" s="63"/>
      <c r="EG73" s="63"/>
      <c r="EH73" s="63"/>
      <c r="EI73" s="63"/>
      <c r="EJ73" s="63"/>
      <c r="EK73" s="63"/>
      <c r="EL73" s="63"/>
      <c r="EM73" s="63"/>
      <c r="EN73" s="63"/>
      <c r="EO73" s="63"/>
      <c r="EP73" s="63"/>
      <c r="EQ73" s="63"/>
      <c r="ER73" s="63"/>
      <c r="ES73" s="63"/>
      <c r="ET73" s="63"/>
      <c r="EU73" s="63"/>
      <c r="EV73" s="63"/>
      <c r="EW73" s="63"/>
      <c r="EX73" s="63"/>
      <c r="EY73" s="63"/>
      <c r="EZ73" s="63"/>
      <c r="FA73" s="63"/>
      <c r="FB73" s="63"/>
      <c r="FC73" s="63"/>
      <c r="FD73" s="63"/>
      <c r="FE73" s="63"/>
      <c r="FF73" s="63"/>
      <c r="FG73" s="63"/>
      <c r="FH73" s="63"/>
      <c r="FI73" s="63"/>
      <c r="FJ73" s="63"/>
      <c r="FK73" s="63"/>
      <c r="FL73" s="63"/>
      <c r="FM73" s="63"/>
      <c r="FN73" s="63"/>
      <c r="FO73" s="63"/>
      <c r="FP73" s="63"/>
      <c r="FQ73" s="63"/>
      <c r="FR73" s="63"/>
      <c r="FS73" s="63"/>
      <c r="FT73" s="63"/>
      <c r="FU73" s="63"/>
      <c r="FV73" s="63"/>
      <c r="FW73" s="63"/>
      <c r="FX73" s="63"/>
      <c r="FY73" s="63"/>
      <c r="FZ73" s="63"/>
      <c r="GA73" s="63"/>
      <c r="GB73" s="63"/>
      <c r="GC73" s="63"/>
      <c r="GD73" s="63"/>
      <c r="GE73" s="63"/>
      <c r="GF73" s="63"/>
      <c r="GG73" s="63"/>
      <c r="GH73" s="63"/>
      <c r="GI73" s="63"/>
      <c r="GJ73" s="63"/>
      <c r="GK73" s="63"/>
      <c r="GL73" s="63"/>
      <c r="GM73" s="63"/>
      <c r="GN73" s="63"/>
      <c r="GO73" s="63"/>
      <c r="GP73" s="63"/>
      <c r="GQ73" s="63"/>
      <c r="GR73" s="63"/>
      <c r="GS73" s="63"/>
      <c r="GT73" s="63"/>
      <c r="GU73" s="63"/>
      <c r="GV73" s="63"/>
      <c r="GW73" s="63"/>
      <c r="GX73" s="63"/>
      <c r="GY73" s="63"/>
      <c r="GZ73" s="63"/>
      <c r="HA73" s="63"/>
      <c r="HB73" s="63"/>
      <c r="HC73" s="63"/>
      <c r="HD73" s="63"/>
      <c r="HE73" s="63"/>
      <c r="HF73" s="63"/>
      <c r="HG73" s="63"/>
      <c r="HH73" s="63"/>
      <c r="HI73" s="63"/>
      <c r="HJ73" s="63"/>
      <c r="HK73" s="63"/>
    </row>
    <row r="74" ht="45" customHeight="1" spans="1:219">
      <c r="A74" s="76" t="s">
        <v>521</v>
      </c>
      <c r="B74" s="72" t="s">
        <v>496</v>
      </c>
      <c r="C74" s="15" t="s">
        <v>416</v>
      </c>
      <c r="D74" s="15"/>
      <c r="E74" s="22">
        <f>10^-4*E64^2/2*SQRT(2)^(6.6*E11^2)</f>
        <v>0.00167004085081795</v>
      </c>
    </row>
    <row r="75" customHeight="1" spans="1:219">
      <c r="A75" s="15" t="s">
        <v>497</v>
      </c>
      <c r="B75" s="72" t="s">
        <v>498</v>
      </c>
      <c r="C75" s="15" t="s">
        <v>154</v>
      </c>
      <c r="D75" s="15"/>
      <c r="E75" s="22">
        <f>E74*E49*E63</f>
        <v>0</v>
      </c>
    </row>
    <row r="76" ht="45.95" customHeight="1" spans="1:219">
      <c r="A76" s="15" t="s">
        <v>501</v>
      </c>
      <c r="B76" s="72" t="s">
        <v>502</v>
      </c>
      <c r="C76" s="15" t="s">
        <v>503</v>
      </c>
      <c r="D76" s="15"/>
      <c r="E76" s="22">
        <f>0.35*E62/(1.25*E48*SQRT(E64^2-1))</f>
        <v>5638.63985990335</v>
      </c>
    </row>
    <row r="77" s="56" customFormat="1" customHeight="1" spans="1:219">
      <c r="A77" s="78" t="s">
        <v>522</v>
      </c>
      <c r="B77" s="79"/>
      <c r="C77" s="80"/>
      <c r="D77" s="81" t="s">
        <v>523</v>
      </c>
      <c r="E77" s="82" t="str">
        <f>IF(AND(E27&lt;E44),"是","否")</f>
        <v>否</v>
      </c>
      <c r="F77" s="62"/>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c r="CR77" s="63"/>
      <c r="CS77" s="63"/>
      <c r="CT77" s="63"/>
      <c r="CU77" s="63"/>
      <c r="CV77" s="63"/>
      <c r="CW77" s="63"/>
      <c r="CX77" s="63"/>
      <c r="CY77" s="63"/>
      <c r="CZ77" s="63"/>
      <c r="DA77" s="63"/>
      <c r="DB77" s="63"/>
      <c r="DC77" s="63"/>
      <c r="DD77" s="63"/>
      <c r="DE77" s="63"/>
      <c r="DF77" s="63"/>
      <c r="DG77" s="63"/>
      <c r="DH77" s="63"/>
      <c r="DI77" s="63"/>
      <c r="DJ77" s="63"/>
      <c r="DK77" s="63"/>
      <c r="DL77" s="63"/>
      <c r="DM77" s="63"/>
      <c r="DN77" s="63"/>
      <c r="DO77" s="63"/>
      <c r="DP77" s="63"/>
      <c r="DQ77" s="63"/>
      <c r="DR77" s="63"/>
      <c r="DS77" s="63"/>
      <c r="DT77" s="63"/>
      <c r="DU77" s="63"/>
      <c r="DV77" s="63"/>
      <c r="DW77" s="63"/>
      <c r="DX77" s="63"/>
      <c r="DY77" s="63"/>
      <c r="DZ77" s="63"/>
      <c r="EA77" s="63"/>
      <c r="EB77" s="63"/>
      <c r="EC77" s="63"/>
      <c r="ED77" s="63"/>
      <c r="EE77" s="63"/>
      <c r="EF77" s="63"/>
      <c r="EG77" s="63"/>
      <c r="EH77" s="63"/>
      <c r="EI77" s="63"/>
      <c r="EJ77" s="63"/>
      <c r="EK77" s="63"/>
      <c r="EL77" s="63"/>
      <c r="EM77" s="63"/>
      <c r="EN77" s="63"/>
      <c r="EO77" s="63"/>
      <c r="EP77" s="63"/>
      <c r="EQ77" s="63"/>
      <c r="ER77" s="63"/>
      <c r="ES77" s="63"/>
      <c r="ET77" s="63"/>
      <c r="EU77" s="63"/>
      <c r="EV77" s="63"/>
      <c r="EW77" s="63"/>
      <c r="EX77" s="63"/>
      <c r="EY77" s="63"/>
      <c r="EZ77" s="63"/>
      <c r="FA77" s="63"/>
      <c r="FB77" s="63"/>
      <c r="FC77" s="63"/>
      <c r="FD77" s="63"/>
      <c r="FE77" s="63"/>
      <c r="FF77" s="63"/>
      <c r="FG77" s="63"/>
      <c r="FH77" s="63"/>
      <c r="FI77" s="63"/>
      <c r="FJ77" s="63"/>
      <c r="FK77" s="63"/>
      <c r="FL77" s="63"/>
      <c r="FM77" s="63"/>
      <c r="FN77" s="63"/>
      <c r="FO77" s="63"/>
      <c r="FP77" s="63"/>
      <c r="FQ77" s="63"/>
      <c r="FR77" s="63"/>
      <c r="FS77" s="63"/>
      <c r="FT77" s="63"/>
      <c r="FU77" s="63"/>
      <c r="FV77" s="63"/>
      <c r="FW77" s="63"/>
      <c r="FX77" s="63"/>
      <c r="FY77" s="63"/>
      <c r="FZ77" s="63"/>
      <c r="GA77" s="63"/>
      <c r="GB77" s="63"/>
      <c r="GC77" s="63"/>
      <c r="GD77" s="63"/>
      <c r="GE77" s="63"/>
      <c r="GF77" s="63"/>
      <c r="GG77" s="63"/>
      <c r="GH77" s="63"/>
      <c r="GI77" s="63"/>
      <c r="GJ77" s="63"/>
      <c r="GK77" s="63"/>
      <c r="GL77" s="63"/>
      <c r="GM77" s="63"/>
      <c r="GN77" s="63"/>
      <c r="GO77" s="63"/>
      <c r="GP77" s="63"/>
      <c r="GQ77" s="63"/>
      <c r="GR77" s="63"/>
      <c r="GS77" s="63"/>
      <c r="GT77" s="63"/>
      <c r="GU77" s="63"/>
      <c r="GV77" s="63"/>
      <c r="GW77" s="63"/>
      <c r="GX77" s="63"/>
      <c r="GY77" s="63"/>
      <c r="GZ77" s="63"/>
      <c r="HA77" s="63"/>
      <c r="HB77" s="63"/>
      <c r="HC77" s="63"/>
      <c r="HD77" s="63"/>
      <c r="HE77" s="63"/>
      <c r="HF77" s="63"/>
      <c r="HG77" s="63"/>
      <c r="HH77" s="63"/>
      <c r="HI77" s="63"/>
      <c r="HJ77" s="63"/>
      <c r="HK77" s="63"/>
    </row>
    <row r="78" ht="47.1" customHeight="1" spans="1:219">
      <c r="A78" s="15" t="s">
        <v>524</v>
      </c>
      <c r="B78" s="72" t="s">
        <v>525</v>
      </c>
      <c r="C78" s="15" t="s">
        <v>416</v>
      </c>
      <c r="D78" s="15"/>
      <c r="E78" s="22">
        <f>SQRT(2/(E35-1)*(22^((E35-1)/E35)-1))</f>
        <v>2.66319176409461</v>
      </c>
    </row>
    <row r="79" ht="45" customHeight="1" spans="1:219">
      <c r="A79" s="76" t="s">
        <v>526</v>
      </c>
      <c r="B79" s="72" t="s">
        <v>496</v>
      </c>
      <c r="C79" s="15" t="s">
        <v>416</v>
      </c>
      <c r="D79" s="15"/>
      <c r="E79" s="22">
        <f>10^-4*E78^2/2*SQRT(2)^(6.6*E11^2)</f>
        <v>0.00226166387360576</v>
      </c>
    </row>
    <row r="80" customHeight="1" spans="1:219">
      <c r="A80" s="15" t="s">
        <v>497</v>
      </c>
      <c r="B80" s="72" t="s">
        <v>498</v>
      </c>
      <c r="C80" s="15" t="s">
        <v>154</v>
      </c>
      <c r="D80" s="15"/>
      <c r="E80" s="22">
        <f>E79*E49*E63</f>
        <v>0</v>
      </c>
    </row>
    <row r="81" ht="45.95" customHeight="1" spans="1:219">
      <c r="A81" s="15" t="s">
        <v>501</v>
      </c>
      <c r="B81" s="72" t="s">
        <v>502</v>
      </c>
      <c r="C81" s="15" t="s">
        <v>503</v>
      </c>
      <c r="D81" s="15"/>
      <c r="E81" s="22">
        <f>0.35*E62/(1.25*E48*SQRT(E78^2-1))</f>
        <v>4702.35904261811</v>
      </c>
    </row>
    <row r="82" s="56" customFormat="1" customHeight="1" spans="1:219">
      <c r="A82" s="78" t="s">
        <v>527</v>
      </c>
      <c r="B82" s="83"/>
      <c r="C82" s="83"/>
      <c r="D82" s="83"/>
      <c r="E82" s="84"/>
      <c r="F82" s="62"/>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c r="CR82" s="63"/>
      <c r="CS82" s="63"/>
      <c r="CT82" s="63"/>
      <c r="CU82" s="63"/>
      <c r="CV82" s="63"/>
      <c r="CW82" s="63"/>
      <c r="CX82" s="63"/>
      <c r="CY82" s="63"/>
      <c r="CZ82" s="63"/>
      <c r="DA82" s="63"/>
      <c r="DB82" s="63"/>
      <c r="DC82" s="63"/>
      <c r="DD82" s="63"/>
      <c r="DE82" s="63"/>
      <c r="DF82" s="63"/>
      <c r="DG82" s="63"/>
      <c r="DH82" s="63"/>
      <c r="DI82" s="63"/>
      <c r="DJ82" s="63"/>
      <c r="DK82" s="63"/>
      <c r="DL82" s="63"/>
      <c r="DM82" s="63"/>
      <c r="DN82" s="63"/>
      <c r="DO82" s="63"/>
      <c r="DP82" s="63"/>
      <c r="DQ82" s="63"/>
      <c r="DR82" s="63"/>
      <c r="DS82" s="63"/>
      <c r="DT82" s="63"/>
      <c r="DU82" s="63"/>
      <c r="DV82" s="63"/>
      <c r="DW82" s="63"/>
      <c r="DX82" s="63"/>
      <c r="DY82" s="63"/>
      <c r="DZ82" s="63"/>
      <c r="EA82" s="63"/>
      <c r="EB82" s="63"/>
      <c r="EC82" s="63"/>
      <c r="ED82" s="63"/>
      <c r="EE82" s="63"/>
      <c r="EF82" s="63"/>
      <c r="EG82" s="63"/>
      <c r="EH82" s="63"/>
      <c r="EI82" s="63"/>
      <c r="EJ82" s="63"/>
      <c r="EK82" s="63"/>
      <c r="EL82" s="63"/>
      <c r="EM82" s="63"/>
      <c r="EN82" s="63"/>
      <c r="EO82" s="63"/>
      <c r="EP82" s="63"/>
      <c r="EQ82" s="63"/>
      <c r="ER82" s="63"/>
      <c r="ES82" s="63"/>
      <c r="ET82" s="63"/>
      <c r="EU82" s="63"/>
      <c r="EV82" s="63"/>
      <c r="EW82" s="63"/>
      <c r="EX82" s="63"/>
      <c r="EY82" s="63"/>
      <c r="EZ82" s="63"/>
      <c r="FA82" s="63"/>
      <c r="FB82" s="63"/>
      <c r="FC82" s="63"/>
      <c r="FD82" s="63"/>
      <c r="FE82" s="63"/>
      <c r="FF82" s="63"/>
      <c r="FG82" s="63"/>
      <c r="FH82" s="63"/>
      <c r="FI82" s="63"/>
      <c r="FJ82" s="63"/>
      <c r="FK82" s="63"/>
      <c r="FL82" s="63"/>
      <c r="FM82" s="63"/>
      <c r="FN82" s="63"/>
      <c r="FO82" s="63"/>
      <c r="FP82" s="63"/>
      <c r="FQ82" s="63"/>
      <c r="FR82" s="63"/>
      <c r="FS82" s="63"/>
      <c r="FT82" s="63"/>
      <c r="FU82" s="63"/>
      <c r="FV82" s="63"/>
      <c r="FW82" s="63"/>
      <c r="FX82" s="63"/>
      <c r="FY82" s="63"/>
      <c r="FZ82" s="63"/>
      <c r="GA82" s="63"/>
      <c r="GB82" s="63"/>
      <c r="GC82" s="63"/>
      <c r="GD82" s="63"/>
      <c r="GE82" s="63"/>
      <c r="GF82" s="63"/>
      <c r="GG82" s="63"/>
      <c r="GH82" s="63"/>
      <c r="GI82" s="63"/>
      <c r="GJ82" s="63"/>
      <c r="GK82" s="63"/>
      <c r="GL82" s="63"/>
      <c r="GM82" s="63"/>
      <c r="GN82" s="63"/>
      <c r="GO82" s="63"/>
      <c r="GP82" s="63"/>
      <c r="GQ82" s="63"/>
      <c r="GR82" s="63"/>
      <c r="GS82" s="63"/>
      <c r="GT82" s="63"/>
      <c r="GU82" s="63"/>
      <c r="GV82" s="63"/>
      <c r="GW82" s="63"/>
      <c r="GX82" s="63"/>
      <c r="GY82" s="63"/>
      <c r="GZ82" s="63"/>
      <c r="HA82" s="63"/>
      <c r="HB82" s="63"/>
      <c r="HC82" s="63"/>
      <c r="HD82" s="63"/>
      <c r="HE82" s="63"/>
      <c r="HF82" s="63"/>
      <c r="HG82" s="63"/>
      <c r="HH82" s="63"/>
      <c r="HI82" s="63"/>
      <c r="HJ82" s="63"/>
      <c r="HK82" s="63"/>
    </row>
    <row r="83" ht="45.95" customHeight="1" spans="1:219">
      <c r="A83" s="76" t="s">
        <v>171</v>
      </c>
      <c r="B83" s="72" t="s">
        <v>528</v>
      </c>
      <c r="C83" s="15" t="s">
        <v>23</v>
      </c>
      <c r="D83" s="15"/>
      <c r="E83" s="22">
        <f>E36*E27/E26</f>
        <v>94.0952380952381</v>
      </c>
    </row>
    <row r="84" ht="47.1" customHeight="1" spans="1:219">
      <c r="A84" s="15" t="s">
        <v>47</v>
      </c>
      <c r="B84" s="72" t="s">
        <v>529</v>
      </c>
      <c r="C84" s="15" t="s">
        <v>62</v>
      </c>
      <c r="D84" s="15"/>
      <c r="E84" s="22">
        <f>SQRT(E35*E28*E31/E17)</f>
        <v>435.851467842202</v>
      </c>
    </row>
    <row r="85" ht="50.1" customHeight="1" spans="1:219">
      <c r="A85" s="15" t="s">
        <v>530</v>
      </c>
      <c r="B85" s="72" t="s">
        <v>531</v>
      </c>
      <c r="C85" s="15" t="s">
        <v>416</v>
      </c>
      <c r="D85" s="15"/>
      <c r="E85" s="14">
        <f>4*E18/(3.14*E7^2*E83*E84)</f>
        <v>0</v>
      </c>
    </row>
    <row r="86" ht="50.1" customHeight="1" spans="1:219">
      <c r="A86" s="15" t="s">
        <v>497</v>
      </c>
      <c r="B86" s="31" t="s">
        <v>532</v>
      </c>
      <c r="C86" s="15"/>
      <c r="D86" s="15" t="s">
        <v>533</v>
      </c>
      <c r="E86" s="22">
        <f>IF(E50="是",E57,IF(E65="是",E67,IF(E69="是",E71,IF(E73="是",E75,IF(E77="是",E80)))))</f>
        <v>0</v>
      </c>
    </row>
    <row r="87" ht="50.1" customHeight="1" spans="1:219">
      <c r="A87" s="15" t="s">
        <v>501</v>
      </c>
      <c r="B87" s="37"/>
      <c r="C87" s="15"/>
      <c r="D87" s="15" t="s">
        <v>534</v>
      </c>
      <c r="E87" s="22">
        <f>IF(E38="多级降压",E110,IF(E50="是",E59,IF(E65="是",E68,IF(E69="是",E72,IF(E73="是",E76,IF(E77="是",E81,IF(E73="是",E76)))))))</f>
        <v>5638.63985990335</v>
      </c>
    </row>
    <row r="88" ht="47.1" customHeight="1" spans="1:219">
      <c r="A88" s="15" t="s">
        <v>535</v>
      </c>
      <c r="B88" s="72" t="s">
        <v>536</v>
      </c>
      <c r="C88" s="15" t="s">
        <v>65</v>
      </c>
      <c r="D88" s="15"/>
      <c r="E88" s="22" t="e">
        <f>10*LOG10(3.2*10^9*E86*E83*E84/E10^2)</f>
        <v>#NUM!</v>
      </c>
    </row>
    <row r="89" ht="89.1" customHeight="1" spans="1:219">
      <c r="A89" s="15" t="s">
        <v>537</v>
      </c>
      <c r="B89" s="72" t="s">
        <v>538</v>
      </c>
      <c r="C89" s="15" t="s">
        <v>63</v>
      </c>
      <c r="D89" s="15"/>
      <c r="E89" s="22">
        <f>10*LOG10((7.6*10^-7)*(E84/(E32*E87))^2*E93/((E83*E84/(415*E94))+1)*(E23/E25))</f>
        <v>-87.6707434187257</v>
      </c>
    </row>
    <row r="90" ht="39.95" customHeight="1" spans="1:219">
      <c r="A90" s="15" t="s">
        <v>539</v>
      </c>
      <c r="B90" s="72" t="s">
        <v>540</v>
      </c>
      <c r="C90" s="15" t="s">
        <v>503</v>
      </c>
      <c r="D90" s="15"/>
      <c r="E90" s="22">
        <f>5000/3.14/E10</f>
        <v>10615.7112526539</v>
      </c>
    </row>
    <row r="91" ht="45.95" customHeight="1" spans="1:219">
      <c r="A91" s="15" t="s">
        <v>541</v>
      </c>
      <c r="B91" s="72" t="s">
        <v>542</v>
      </c>
      <c r="C91" s="15" t="s">
        <v>503</v>
      </c>
      <c r="D91" s="15"/>
      <c r="E91" s="22">
        <f>E90/4*E84/343</f>
        <v>3372.35665572754</v>
      </c>
    </row>
    <row r="92" ht="54" customHeight="1" spans="1:219">
      <c r="A92" s="15" t="s">
        <v>543</v>
      </c>
      <c r="B92" s="72" t="s">
        <v>544</v>
      </c>
      <c r="C92" s="15" t="s">
        <v>503</v>
      </c>
      <c r="D92" s="15"/>
      <c r="E92" s="22">
        <f>343^2*SQRT(3)/5000/3.14/E32</f>
        <v>1825.49065602113</v>
      </c>
    </row>
    <row r="93" customHeight="1" spans="1:219">
      <c r="A93" s="15" t="s">
        <v>545</v>
      </c>
      <c r="B93" s="72" t="s">
        <v>546</v>
      </c>
      <c r="C93" s="15" t="s">
        <v>416</v>
      </c>
      <c r="D93" s="15" t="s">
        <v>9</v>
      </c>
      <c r="E93" s="22">
        <f>1.9*10^-3</f>
        <v>0.0019</v>
      </c>
      <c r="F93" s="85">
        <f>IF(E87&lt;E91,(E91/E90)^(2/3)*(E87/E91)^4,IF(AND(E87&gt;=E91,E87&lt;E90),(E87/E90)^0.5,"1"))</f>
        <v>0.728807158858155</v>
      </c>
    </row>
    <row r="94" customHeight="1" spans="1:219">
      <c r="A94" s="15" t="s">
        <v>547</v>
      </c>
      <c r="B94" s="72" t="s">
        <v>546</v>
      </c>
      <c r="C94" s="15" t="s">
        <v>416</v>
      </c>
      <c r="D94" s="15" t="s">
        <v>9</v>
      </c>
      <c r="E94" s="22" t="str">
        <f>IF(AND(E87&lt;E91,E91&lt;E92),E91/E92,IF(AND(E87&lt;E91,E91&gt;E92),"1",IF(AND(E87&gt;=E91,E87&lt;E92),E87/E92,"1")))</f>
        <v>1</v>
      </c>
      <c r="F94" s="85"/>
    </row>
    <row r="95" ht="50.1" customHeight="1" spans="1:219">
      <c r="A95" s="15" t="s">
        <v>548</v>
      </c>
      <c r="B95" s="72" t="s">
        <v>549</v>
      </c>
      <c r="C95" s="15" t="s">
        <v>65</v>
      </c>
      <c r="D95" s="15"/>
      <c r="E95" s="22">
        <f>16*LOG10(1/(1-E96))</f>
        <v>0</v>
      </c>
    </row>
    <row r="96" ht="45.95" customHeight="1" spans="1:219">
      <c r="A96" s="15" t="s">
        <v>550</v>
      </c>
      <c r="B96" s="72" t="s">
        <v>551</v>
      </c>
      <c r="C96" s="15" t="s">
        <v>416</v>
      </c>
      <c r="D96" s="15"/>
      <c r="E96" s="22">
        <f>IF(G96&gt;1,0.8,G96)</f>
        <v>0</v>
      </c>
      <c r="F96" s="73" t="s">
        <v>552</v>
      </c>
      <c r="G96" s="86">
        <f>4*E18/(3.14*E10^2*E83*E84)</f>
        <v>0</v>
      </c>
    </row>
    <row r="97" ht="33.95" customHeight="1" spans="1:6">
      <c r="A97" s="15" t="s">
        <v>553</v>
      </c>
      <c r="B97" s="72" t="s">
        <v>554</v>
      </c>
      <c r="C97" s="15" t="s">
        <v>65</v>
      </c>
      <c r="D97" s="15"/>
      <c r="E97" s="22" t="e">
        <f>5+E88+E89+E95</f>
        <v>#NUM!</v>
      </c>
    </row>
    <row r="98" ht="56.1" customHeight="1" spans="1:6">
      <c r="A98" s="15" t="s">
        <v>555</v>
      </c>
      <c r="B98" s="72" t="s">
        <v>556</v>
      </c>
      <c r="C98" s="15" t="s">
        <v>65</v>
      </c>
      <c r="D98" s="15"/>
      <c r="E98" s="22" t="e">
        <f>E97-10*LOG10((E10+2*E32+2)/(E10+2*E32))</f>
        <v>#NUM!</v>
      </c>
    </row>
    <row r="99" customHeight="1" spans="1:6">
      <c r="A99" s="87" t="s">
        <v>557</v>
      </c>
      <c r="B99" s="88"/>
      <c r="C99" s="88"/>
      <c r="D99" s="88"/>
      <c r="E99" s="89"/>
    </row>
    <row r="100" customHeight="1" spans="1:6">
      <c r="A100" s="15" t="s">
        <v>478</v>
      </c>
      <c r="B100" s="72" t="s">
        <v>479</v>
      </c>
      <c r="C100" s="15" t="s">
        <v>81</v>
      </c>
      <c r="D100" s="15"/>
      <c r="E100" s="15">
        <f>E20*E45*SQRT(E6*(0.9-0.06*(E15/E8)))</f>
        <v>0.00554151506069006</v>
      </c>
    </row>
    <row r="101" ht="33" customHeight="1" spans="1:6">
      <c r="A101" s="15" t="s">
        <v>558</v>
      </c>
      <c r="B101" s="72" t="s">
        <v>559</v>
      </c>
      <c r="C101" s="15" t="s">
        <v>416</v>
      </c>
      <c r="D101" s="15"/>
      <c r="E101" s="22">
        <f>E21*E5</f>
        <v>272.412</v>
      </c>
    </row>
    <row r="102" ht="51.95" customHeight="1" spans="1:6">
      <c r="A102" s="32" t="s">
        <v>560</v>
      </c>
      <c r="B102" s="75" t="s">
        <v>561</v>
      </c>
      <c r="C102" s="32" t="s">
        <v>437</v>
      </c>
      <c r="D102" s="15"/>
      <c r="E102" s="22">
        <f>SQRT((E26*E6/(1.155*E101))^2+E27^2)</f>
        <v>256944.149492235</v>
      </c>
    </row>
    <row r="103" ht="45" customHeight="1" spans="1:6">
      <c r="A103" s="35"/>
      <c r="B103" s="72" t="s">
        <v>562</v>
      </c>
      <c r="C103" s="35"/>
      <c r="D103" s="15"/>
      <c r="E103" s="22">
        <f>E26*(E6/E101)</f>
        <v>186310.82984023</v>
      </c>
    </row>
    <row r="104" ht="51" customHeight="1" spans="1:6">
      <c r="A104" s="35"/>
      <c r="B104" s="72" t="s">
        <v>563</v>
      </c>
      <c r="C104" s="35"/>
      <c r="D104" s="15"/>
      <c r="E104" s="22">
        <f>SQRT((E6/E101)^2*(E26^2-E27^2)+E27^2)</f>
        <v>272757.914155868</v>
      </c>
    </row>
    <row r="105" ht="51" customHeight="1" spans="1:6">
      <c r="A105" s="38"/>
      <c r="B105" s="72"/>
      <c r="C105" s="38"/>
      <c r="D105" s="15" t="s">
        <v>564</v>
      </c>
      <c r="E105" s="22">
        <f>IF(AND(E26/E27&gt;=2,E102/E27&lt;2),E102,IF(AND(E26/E27&gt;=2,E102/E27&gt;=2),E103,IF(E26/E27&lt;2,E104)))</f>
        <v>256944.149492235</v>
      </c>
    </row>
    <row r="106" ht="44.1" customHeight="1" spans="1:6">
      <c r="A106" s="76" t="s">
        <v>565</v>
      </c>
      <c r="B106" s="72" t="s">
        <v>566</v>
      </c>
      <c r="C106" s="15" t="s">
        <v>23</v>
      </c>
      <c r="D106" s="15"/>
      <c r="E106" s="15">
        <f>E36*E105/E26</f>
        <v>120.886104618252</v>
      </c>
    </row>
    <row r="107" ht="30" customHeight="1" spans="1:6">
      <c r="A107" s="15" t="s">
        <v>478</v>
      </c>
      <c r="B107" s="72" t="s">
        <v>479</v>
      </c>
      <c r="C107" s="15" t="s">
        <v>81</v>
      </c>
      <c r="D107" s="15"/>
      <c r="E107" s="15">
        <f>E20*E45*SQRT(E101*E11)</f>
        <v>0.032224021787654</v>
      </c>
    </row>
    <row r="108" ht="45" customHeight="1" spans="1:6">
      <c r="A108" s="15" t="s">
        <v>567</v>
      </c>
      <c r="B108" s="72" t="s">
        <v>554</v>
      </c>
      <c r="C108" s="15" t="s">
        <v>65</v>
      </c>
      <c r="D108" s="15"/>
      <c r="E108" s="15" t="e">
        <f>5+E88+10*LOG10(E26/E105)+E89+E95</f>
        <v>#NUM!</v>
      </c>
    </row>
    <row r="109" ht="39" customHeight="1" spans="1:6">
      <c r="A109" s="15" t="s">
        <v>568</v>
      </c>
      <c r="B109" s="72" t="s">
        <v>569</v>
      </c>
      <c r="C109" s="15" t="s">
        <v>416</v>
      </c>
      <c r="D109" s="15"/>
      <c r="E109" s="15" t="e">
        <f>E51/E54</f>
        <v>#NUM!</v>
      </c>
    </row>
    <row r="110" ht="45.95" customHeight="1" spans="1:6">
      <c r="A110" s="15" t="s">
        <v>501</v>
      </c>
      <c r="B110" s="72" t="s">
        <v>502</v>
      </c>
      <c r="C110" s="15" t="s">
        <v>503</v>
      </c>
      <c r="D110" s="15"/>
      <c r="E110" s="15" t="e">
        <f>0.2*E109*E54/E100</f>
        <v>#NUM!</v>
      </c>
      <c r="F110" s="12" t="e">
        <f>0.2*E109*E54/E48</f>
        <v>#NUM!</v>
      </c>
    </row>
    <row r="111" customHeight="1" spans="1:6">
      <c r="A111" s="87" t="s">
        <v>570</v>
      </c>
      <c r="B111" s="88"/>
      <c r="C111" s="88"/>
      <c r="D111" s="88"/>
      <c r="E111" s="89"/>
    </row>
    <row r="112" ht="41.1" customHeight="1" spans="1:6">
      <c r="A112" s="15" t="s">
        <v>571</v>
      </c>
      <c r="B112" s="72" t="s">
        <v>572</v>
      </c>
      <c r="C112" s="15" t="s">
        <v>62</v>
      </c>
      <c r="D112" s="15"/>
      <c r="E112" s="15">
        <f>4*E18/(3.14*E83*E10^2)</f>
        <v>0</v>
      </c>
    </row>
    <row r="113" ht="48" customHeight="1" spans="1:5">
      <c r="A113" s="15" t="s">
        <v>573</v>
      </c>
      <c r="B113" s="72" t="s">
        <v>574</v>
      </c>
      <c r="C113" s="15" t="s">
        <v>62</v>
      </c>
      <c r="D113" s="15"/>
      <c r="E113" s="15">
        <f>E112*E10^2/(E9^2*E34)</f>
        <v>0</v>
      </c>
    </row>
    <row r="114" ht="51" customHeight="1" spans="1:5">
      <c r="A114" s="15" t="s">
        <v>575</v>
      </c>
      <c r="B114" s="72" t="s">
        <v>576</v>
      </c>
      <c r="C114" s="15" t="s">
        <v>154</v>
      </c>
      <c r="D114" s="15"/>
      <c r="E114" s="15">
        <f>E18*E113^2/2*((1-E9^2/E10^2)+0.2)</f>
        <v>0</v>
      </c>
    </row>
    <row r="115" ht="44.1" customHeight="1" spans="1:5">
      <c r="A115" s="15" t="s">
        <v>577</v>
      </c>
      <c r="B115" s="72" t="s">
        <v>578</v>
      </c>
      <c r="C115" s="15" t="s">
        <v>503</v>
      </c>
      <c r="D115" s="15"/>
      <c r="E115" s="15">
        <f>0.2*E113/E9</f>
        <v>0</v>
      </c>
    </row>
    <row r="116" ht="26.1" customHeight="1" spans="1:5">
      <c r="A116" s="76" t="s">
        <v>579</v>
      </c>
      <c r="B116" s="72" t="s">
        <v>580</v>
      </c>
      <c r="C116" s="15" t="s">
        <v>416</v>
      </c>
      <c r="D116" s="15"/>
      <c r="E116" s="15">
        <f>10^-3*E117^3</f>
        <v>0</v>
      </c>
    </row>
    <row r="117" ht="41.1" customHeight="1" spans="1:5">
      <c r="A117" s="15" t="s">
        <v>581</v>
      </c>
      <c r="B117" s="72" t="s">
        <v>582</v>
      </c>
      <c r="C117" s="15" t="s">
        <v>416</v>
      </c>
      <c r="D117" s="15"/>
      <c r="E117" s="15">
        <f>E113/E84</f>
        <v>0</v>
      </c>
    </row>
    <row r="118" ht="29.1" customHeight="1" spans="1:5">
      <c r="A118" s="15" t="s">
        <v>583</v>
      </c>
      <c r="B118" s="72" t="s">
        <v>584</v>
      </c>
      <c r="C118" s="15" t="s">
        <v>154</v>
      </c>
      <c r="D118" s="15"/>
      <c r="E118" s="15">
        <f>E116*E114</f>
        <v>0</v>
      </c>
    </row>
    <row r="119" ht="45.95" customHeight="1" spans="1:5">
      <c r="A119" s="15" t="s">
        <v>585</v>
      </c>
      <c r="B119" s="72" t="s">
        <v>586</v>
      </c>
      <c r="C119" s="15" t="s">
        <v>65</v>
      </c>
      <c r="D119" s="15"/>
      <c r="E119" s="15" t="e">
        <f>10*LOG10(3.2*10^9*E118*E83*E84/E10^2)</f>
        <v>#NUM!</v>
      </c>
    </row>
    <row r="120" ht="78.95" customHeight="1" spans="1:5">
      <c r="A120" s="15" t="s">
        <v>587</v>
      </c>
      <c r="B120" s="72" t="s">
        <v>588</v>
      </c>
      <c r="C120" s="15" t="s">
        <v>63</v>
      </c>
      <c r="D120" s="15"/>
      <c r="E120" s="15" t="e">
        <f>10*LOG10(7.6*10^-7*(E84/E32/E115)^2*E93/(1+E83*E84/E32/E115)*E23/E25)</f>
        <v>#DIV/0!</v>
      </c>
    </row>
    <row r="121" ht="50.1" customHeight="1" spans="1:5">
      <c r="A121" s="15" t="s">
        <v>589</v>
      </c>
      <c r="B121" s="72" t="s">
        <v>590</v>
      </c>
      <c r="C121" s="15" t="s">
        <v>65</v>
      </c>
      <c r="D121" s="15"/>
      <c r="E121" s="15" t="e">
        <f>5+E119+E120+E95-10*LOG10((E10+2*E32+2)/(E10+2*E32))</f>
        <v>#NUM!</v>
      </c>
    </row>
    <row r="122" ht="33.95" customHeight="1" spans="1:5">
      <c r="A122" s="15" t="s">
        <v>591</v>
      </c>
      <c r="B122" s="72" t="s">
        <v>592</v>
      </c>
      <c r="C122" s="15" t="s">
        <v>65</v>
      </c>
      <c r="D122" s="15"/>
      <c r="E122" s="15" t="e">
        <f>10*LOG10(10^(E121/10)+10^(E108/10))</f>
        <v>#NUM!</v>
      </c>
    </row>
    <row r="123" ht="78.95" customHeight="1" spans="1:5">
      <c r="A123" s="90" t="s">
        <v>593</v>
      </c>
      <c r="B123" s="90"/>
      <c r="C123" s="90"/>
      <c r="D123" s="90"/>
      <c r="E123" s="91"/>
    </row>
    <row r="124" ht="71.1" customHeight="1" spans="1:5">
      <c r="A124" s="90" t="s">
        <v>594</v>
      </c>
      <c r="B124" s="90"/>
      <c r="C124" s="90"/>
      <c r="D124" s="90"/>
      <c r="E124" s="91"/>
    </row>
  </sheetData>
  <mergeCells count="15">
    <mergeCell ref="A3:E3"/>
    <mergeCell ref="A50:B50"/>
    <mergeCell ref="A60:E60"/>
    <mergeCell ref="A65:B65"/>
    <mergeCell ref="A69:B69"/>
    <mergeCell ref="A73:B73"/>
    <mergeCell ref="A77:B77"/>
    <mergeCell ref="A82:E82"/>
    <mergeCell ref="A99:E99"/>
    <mergeCell ref="A111:E111"/>
    <mergeCell ref="A123:E123"/>
    <mergeCell ref="A124:E124"/>
    <mergeCell ref="A102:A105"/>
    <mergeCell ref="B86:B87"/>
    <mergeCell ref="C102:C105"/>
  </mergeCells>
  <dataValidations count="1">
    <dataValidation type="list" allowBlank="1" showInputMessage="1" showErrorMessage="1" sqref="E38">
      <formula1>"标准型,多级降压"</formula1>
    </dataValidation>
  </dataValidations>
  <pageMargins left="0.75" right="0.75" top="1" bottom="1" header="0.5" footer="0.5"/>
  <pageSetup paperSize="9" orientation="portrait"/>
  <headerFooter/>
  <drawing r:id="rId1"/>
  <legacyDrawing r:id="rId2"/>
  <oleObjects>
    <mc:AlternateContent xmlns:mc="http://schemas.openxmlformats.org/markup-compatibility/2006">
      <mc:Choice Requires="x14">
        <oleObject shapeId="108545" progId="Equation.KSEE3" r:id="rId3">
          <objectPr defaultSize="0" r:id="rId4">
            <anchor moveWithCells="1">
              <from>
                <xdr:col>3</xdr:col>
                <xdr:colOff>876300</xdr:colOff>
                <xdr:row>38</xdr:row>
                <xdr:rowOff>76200</xdr:rowOff>
              </from>
              <to>
                <xdr:col>3</xdr:col>
                <xdr:colOff>1952625</xdr:colOff>
                <xdr:row>38</xdr:row>
                <xdr:rowOff>504825</xdr:rowOff>
              </to>
            </anchor>
          </objectPr>
        </oleObject>
      </mc:Choice>
      <mc:Fallback>
        <oleObject shapeId="108545" progId="Equation.KSEE3" r:id="rId3"/>
      </mc:Fallback>
    </mc:AlternateContent>
    <mc:AlternateContent xmlns:mc="http://schemas.openxmlformats.org/markup-compatibility/2006">
      <mc:Choice Requires="x14">
        <oleObject shapeId="108546" progId="Equation.KSEE3" r:id="rId5">
          <objectPr defaultSize="0" r:id="rId6">
            <anchor moveWithCells="1">
              <from>
                <xdr:col>3</xdr:col>
                <xdr:colOff>800100</xdr:colOff>
                <xdr:row>39</xdr:row>
                <xdr:rowOff>47625</xdr:rowOff>
              </from>
              <to>
                <xdr:col>3</xdr:col>
                <xdr:colOff>2095500</xdr:colOff>
                <xdr:row>39</xdr:row>
                <xdr:rowOff>581025</xdr:rowOff>
              </to>
            </anchor>
          </objectPr>
        </oleObject>
      </mc:Choice>
      <mc:Fallback>
        <oleObject shapeId="108546" progId="Equation.KSEE3" r:id="rId5"/>
      </mc:Fallback>
    </mc:AlternateContent>
    <mc:AlternateContent xmlns:mc="http://schemas.openxmlformats.org/markup-compatibility/2006">
      <mc:Choice Requires="x14">
        <oleObject shapeId="108547" progId="Equation.KSEE3" r:id="rId7">
          <objectPr defaultSize="0" r:id="rId8">
            <anchor moveWithCells="1">
              <from>
                <xdr:col>3</xdr:col>
                <xdr:colOff>657225</xdr:colOff>
                <xdr:row>40</xdr:row>
                <xdr:rowOff>66675</xdr:rowOff>
              </from>
              <to>
                <xdr:col>3</xdr:col>
                <xdr:colOff>2486025</xdr:colOff>
                <xdr:row>40</xdr:row>
                <xdr:rowOff>371475</xdr:rowOff>
              </to>
            </anchor>
          </objectPr>
        </oleObject>
      </mc:Choice>
      <mc:Fallback>
        <oleObject shapeId="108547" progId="Equation.KSEE3" r:id="rId7"/>
      </mc:Fallback>
    </mc:AlternateContent>
    <mc:AlternateContent xmlns:mc="http://schemas.openxmlformats.org/markup-compatibility/2006">
      <mc:Choice Requires="x14">
        <oleObject shapeId="108548" progId="Equation.KSEE3" r:id="rId9">
          <objectPr defaultSize="0" r:id="rId10">
            <anchor moveWithCells="1">
              <from>
                <xdr:col>3</xdr:col>
                <xdr:colOff>1152525</xdr:colOff>
                <xdr:row>41</xdr:row>
                <xdr:rowOff>85725</xdr:rowOff>
              </from>
              <to>
                <xdr:col>3</xdr:col>
                <xdr:colOff>1743075</xdr:colOff>
                <xdr:row>41</xdr:row>
                <xdr:rowOff>523875</xdr:rowOff>
              </to>
            </anchor>
          </objectPr>
        </oleObject>
      </mc:Choice>
      <mc:Fallback>
        <oleObject shapeId="108548" progId="Equation.KSEE3" r:id="rId9"/>
      </mc:Fallback>
    </mc:AlternateContent>
    <mc:AlternateContent xmlns:mc="http://schemas.openxmlformats.org/markup-compatibility/2006">
      <mc:Choice Requires="x14">
        <oleObject shapeId="108549" progId="Equation.KSEE3" r:id="rId11">
          <objectPr defaultSize="0" r:id="rId12">
            <anchor moveWithCells="1">
              <from>
                <xdr:col>3</xdr:col>
                <xdr:colOff>895350</xdr:colOff>
                <xdr:row>42</xdr:row>
                <xdr:rowOff>66675</xdr:rowOff>
              </from>
              <to>
                <xdr:col>3</xdr:col>
                <xdr:colOff>1990725</xdr:colOff>
                <xdr:row>42</xdr:row>
                <xdr:rowOff>600075</xdr:rowOff>
              </to>
            </anchor>
          </objectPr>
        </oleObject>
      </mc:Choice>
      <mc:Fallback>
        <oleObject shapeId="108549" progId="Equation.KSEE3" r:id="rId11"/>
      </mc:Fallback>
    </mc:AlternateContent>
    <mc:AlternateContent xmlns:mc="http://schemas.openxmlformats.org/markup-compatibility/2006">
      <mc:Choice Requires="x14">
        <oleObject shapeId="108550" progId="Equation.KSEE3" r:id="rId13">
          <objectPr defaultSize="0" r:id="rId14">
            <anchor moveWithCells="1">
              <from>
                <xdr:col>3</xdr:col>
                <xdr:colOff>1095375</xdr:colOff>
                <xdr:row>43</xdr:row>
                <xdr:rowOff>57150</xdr:rowOff>
              </from>
              <to>
                <xdr:col>3</xdr:col>
                <xdr:colOff>1847850</xdr:colOff>
                <xdr:row>43</xdr:row>
                <xdr:rowOff>447675</xdr:rowOff>
              </to>
            </anchor>
          </objectPr>
        </oleObject>
      </mc:Choice>
      <mc:Fallback>
        <oleObject shapeId="108550" progId="Equation.KSEE3" r:id="rId13"/>
      </mc:Fallback>
    </mc:AlternateContent>
    <mc:AlternateContent xmlns:mc="http://schemas.openxmlformats.org/markup-compatibility/2006">
      <mc:Choice Requires="x14">
        <oleObject shapeId="108551" progId="Equation.KSEE3" r:id="rId15">
          <objectPr defaultSize="0" r:id="rId16">
            <anchor moveWithCells="1">
              <from>
                <xdr:col>3</xdr:col>
                <xdr:colOff>962025</xdr:colOff>
                <xdr:row>51</xdr:row>
                <xdr:rowOff>66675</xdr:rowOff>
              </from>
              <to>
                <xdr:col>3</xdr:col>
                <xdr:colOff>1847850</xdr:colOff>
                <xdr:row>51</xdr:row>
                <xdr:rowOff>504825</xdr:rowOff>
              </to>
            </anchor>
          </objectPr>
        </oleObject>
      </mc:Choice>
      <mc:Fallback>
        <oleObject shapeId="108551" progId="Equation.KSEE3" r:id="rId15"/>
      </mc:Fallback>
    </mc:AlternateContent>
    <mc:AlternateContent xmlns:mc="http://schemas.openxmlformats.org/markup-compatibility/2006">
      <mc:Choice Requires="x14">
        <oleObject shapeId="108552" progId="Equation.KSEE3" r:id="rId17">
          <objectPr defaultSize="0" r:id="rId18">
            <anchor moveWithCells="1">
              <from>
                <xdr:col>3</xdr:col>
                <xdr:colOff>762000</xdr:colOff>
                <xdr:row>52</xdr:row>
                <xdr:rowOff>66675</xdr:rowOff>
              </from>
              <to>
                <xdr:col>3</xdr:col>
                <xdr:colOff>1933575</xdr:colOff>
                <xdr:row>52</xdr:row>
                <xdr:rowOff>542925</xdr:rowOff>
              </to>
            </anchor>
          </objectPr>
        </oleObject>
      </mc:Choice>
      <mc:Fallback>
        <oleObject shapeId="108552" progId="Equation.KSEE3" r:id="rId17"/>
      </mc:Fallback>
    </mc:AlternateContent>
    <mc:AlternateContent xmlns:mc="http://schemas.openxmlformats.org/markup-compatibility/2006">
      <mc:Choice Requires="x14">
        <oleObject shapeId="108553" progId="Equation.KSEE3" r:id="rId19">
          <objectPr defaultSize="0" r:id="rId20">
            <anchor moveWithCells="1">
              <from>
                <xdr:col>3</xdr:col>
                <xdr:colOff>981075</xdr:colOff>
                <xdr:row>53</xdr:row>
                <xdr:rowOff>66675</xdr:rowOff>
              </from>
              <to>
                <xdr:col>3</xdr:col>
                <xdr:colOff>1857375</xdr:colOff>
                <xdr:row>53</xdr:row>
                <xdr:rowOff>514350</xdr:rowOff>
              </to>
            </anchor>
          </objectPr>
        </oleObject>
      </mc:Choice>
      <mc:Fallback>
        <oleObject shapeId="108553" progId="Equation.KSEE3" r:id="rId19"/>
      </mc:Fallback>
    </mc:AlternateContent>
    <mc:AlternateContent xmlns:mc="http://schemas.openxmlformats.org/markup-compatibility/2006">
      <mc:Choice Requires="x14">
        <oleObject shapeId="108554" progId="Equation.KSEE3" r:id="rId21">
          <objectPr defaultSize="0" r:id="rId22">
            <anchor moveWithCells="1">
              <from>
                <xdr:col>3</xdr:col>
                <xdr:colOff>1038225</xdr:colOff>
                <xdr:row>54</xdr:row>
                <xdr:rowOff>85725</xdr:rowOff>
              </from>
              <to>
                <xdr:col>3</xdr:col>
                <xdr:colOff>1781175</xdr:colOff>
                <xdr:row>54</xdr:row>
                <xdr:rowOff>514350</xdr:rowOff>
              </to>
            </anchor>
          </objectPr>
        </oleObject>
      </mc:Choice>
      <mc:Fallback>
        <oleObject shapeId="108554" progId="Equation.KSEE3" r:id="rId21"/>
      </mc:Fallback>
    </mc:AlternateContent>
    <mc:AlternateContent xmlns:mc="http://schemas.openxmlformats.org/markup-compatibility/2006">
      <mc:Choice Requires="x14">
        <oleObject shapeId="108555" progId="Equation.KSEE3" r:id="rId23">
          <objectPr defaultSize="0" r:id="rId24">
            <anchor moveWithCells="1">
              <from>
                <xdr:col>3</xdr:col>
                <xdr:colOff>981075</xdr:colOff>
                <xdr:row>55</xdr:row>
                <xdr:rowOff>47625</xdr:rowOff>
              </from>
              <to>
                <xdr:col>3</xdr:col>
                <xdr:colOff>1933575</xdr:colOff>
                <xdr:row>55</xdr:row>
                <xdr:rowOff>295275</xdr:rowOff>
              </to>
            </anchor>
          </objectPr>
        </oleObject>
      </mc:Choice>
      <mc:Fallback>
        <oleObject shapeId="108555" progId="Equation.KSEE3" r:id="rId23"/>
      </mc:Fallback>
    </mc:AlternateContent>
    <mc:AlternateContent xmlns:mc="http://schemas.openxmlformats.org/markup-compatibility/2006">
      <mc:Choice Requires="x14">
        <oleObject shapeId="108556" progId="Equation.KSEE3" r:id="rId25">
          <objectPr defaultSize="0" r:id="rId26">
            <anchor moveWithCells="1">
              <from>
                <xdr:col>3</xdr:col>
                <xdr:colOff>962025</xdr:colOff>
                <xdr:row>56</xdr:row>
                <xdr:rowOff>38100</xdr:rowOff>
              </from>
              <to>
                <xdr:col>3</xdr:col>
                <xdr:colOff>1885950</xdr:colOff>
                <xdr:row>56</xdr:row>
                <xdr:rowOff>276225</xdr:rowOff>
              </to>
            </anchor>
          </objectPr>
        </oleObject>
      </mc:Choice>
      <mc:Fallback>
        <oleObject shapeId="108556" progId="Equation.KSEE3" r:id="rId25"/>
      </mc:Fallback>
    </mc:AlternateContent>
    <mc:AlternateContent xmlns:mc="http://schemas.openxmlformats.org/markup-compatibility/2006">
      <mc:Choice Requires="x14">
        <oleObject shapeId="108557" progId="Equation.KSEE3" r:id="rId27">
          <objectPr defaultSize="0" r:id="rId28">
            <anchor moveWithCells="1">
              <from>
                <xdr:col>3</xdr:col>
                <xdr:colOff>857250</xdr:colOff>
                <xdr:row>57</xdr:row>
                <xdr:rowOff>95250</xdr:rowOff>
              </from>
              <to>
                <xdr:col>3</xdr:col>
                <xdr:colOff>1819275</xdr:colOff>
                <xdr:row>57</xdr:row>
                <xdr:rowOff>523875</xdr:rowOff>
              </to>
            </anchor>
          </objectPr>
        </oleObject>
      </mc:Choice>
      <mc:Fallback>
        <oleObject shapeId="108557" progId="Equation.KSEE3" r:id="rId27"/>
      </mc:Fallback>
    </mc:AlternateContent>
    <mc:AlternateContent xmlns:mc="http://schemas.openxmlformats.org/markup-compatibility/2006">
      <mc:Choice Requires="x14">
        <oleObject shapeId="108558" progId="Equation.KSEE3" r:id="rId29">
          <objectPr defaultSize="0" r:id="rId30">
            <anchor moveWithCells="1">
              <from>
                <xdr:col>3</xdr:col>
                <xdr:colOff>933450</xdr:colOff>
                <xdr:row>58</xdr:row>
                <xdr:rowOff>104775</xdr:rowOff>
              </from>
              <to>
                <xdr:col>3</xdr:col>
                <xdr:colOff>1704975</xdr:colOff>
                <xdr:row>58</xdr:row>
                <xdr:rowOff>552450</xdr:rowOff>
              </to>
            </anchor>
          </objectPr>
        </oleObject>
      </mc:Choice>
      <mc:Fallback>
        <oleObject shapeId="108558" progId="Equation.KSEE3" r:id="rId29"/>
      </mc:Fallback>
    </mc:AlternateContent>
    <mc:AlternateContent xmlns:mc="http://schemas.openxmlformats.org/markup-compatibility/2006">
      <mc:Choice Requires="x14">
        <oleObject shapeId="108559" progId="Equation.KSEE3" r:id="rId31">
          <objectPr defaultSize="0" r:id="rId32">
            <anchor moveWithCells="1">
              <from>
                <xdr:col>3</xdr:col>
                <xdr:colOff>981075</xdr:colOff>
                <xdr:row>60</xdr:row>
                <xdr:rowOff>104775</xdr:rowOff>
              </from>
              <to>
                <xdr:col>3</xdr:col>
                <xdr:colOff>1676400</xdr:colOff>
                <xdr:row>60</xdr:row>
                <xdr:rowOff>523875</xdr:rowOff>
              </to>
            </anchor>
          </objectPr>
        </oleObject>
      </mc:Choice>
      <mc:Fallback>
        <oleObject shapeId="108559" progId="Equation.KSEE3" r:id="rId31"/>
      </mc:Fallback>
    </mc:AlternateContent>
    <mc:AlternateContent xmlns:mc="http://schemas.openxmlformats.org/markup-compatibility/2006">
      <mc:Choice Requires="x14">
        <oleObject shapeId="108560" progId="Equation.KSEE3" r:id="rId33">
          <objectPr defaultSize="0" r:id="rId34">
            <anchor moveWithCells="1">
              <from>
                <xdr:col>3</xdr:col>
                <xdr:colOff>914400</xdr:colOff>
                <xdr:row>61</xdr:row>
                <xdr:rowOff>85725</xdr:rowOff>
              </from>
              <to>
                <xdr:col>3</xdr:col>
                <xdr:colOff>1866900</xdr:colOff>
                <xdr:row>61</xdr:row>
                <xdr:rowOff>533400</xdr:rowOff>
              </to>
            </anchor>
          </objectPr>
        </oleObject>
      </mc:Choice>
      <mc:Fallback>
        <oleObject shapeId="108560" progId="Equation.KSEE3" r:id="rId33"/>
      </mc:Fallback>
    </mc:AlternateContent>
    <mc:AlternateContent xmlns:mc="http://schemas.openxmlformats.org/markup-compatibility/2006">
      <mc:Choice Requires="x14">
        <oleObject shapeId="108561" progId="Equation.KSEE3" r:id="rId35">
          <objectPr defaultSize="0" r:id="rId36">
            <anchor moveWithCells="1">
              <from>
                <xdr:col>3</xdr:col>
                <xdr:colOff>990600</xdr:colOff>
                <xdr:row>62</xdr:row>
                <xdr:rowOff>66675</xdr:rowOff>
              </from>
              <to>
                <xdr:col>3</xdr:col>
                <xdr:colOff>1790700</xdr:colOff>
                <xdr:row>62</xdr:row>
                <xdr:rowOff>485775</xdr:rowOff>
              </to>
            </anchor>
          </objectPr>
        </oleObject>
      </mc:Choice>
      <mc:Fallback>
        <oleObject shapeId="108561" progId="Equation.KSEE3" r:id="rId35"/>
      </mc:Fallback>
    </mc:AlternateContent>
    <mc:AlternateContent xmlns:mc="http://schemas.openxmlformats.org/markup-compatibility/2006">
      <mc:Choice Requires="x14">
        <oleObject shapeId="108562" progId="Equation.KSEE3" r:id="rId37">
          <objectPr defaultSize="0" r:id="rId38">
            <anchor moveWithCells="1">
              <from>
                <xdr:col>3</xdr:col>
                <xdr:colOff>428625</xdr:colOff>
                <xdr:row>63</xdr:row>
                <xdr:rowOff>47625</xdr:rowOff>
              </from>
              <to>
                <xdr:col>3</xdr:col>
                <xdr:colOff>2286000</xdr:colOff>
                <xdr:row>63</xdr:row>
                <xdr:rowOff>657225</xdr:rowOff>
              </to>
            </anchor>
          </objectPr>
        </oleObject>
      </mc:Choice>
      <mc:Fallback>
        <oleObject shapeId="108562" progId="Equation.KSEE3" r:id="rId37"/>
      </mc:Fallback>
    </mc:AlternateContent>
    <mc:AlternateContent xmlns:mc="http://schemas.openxmlformats.org/markup-compatibility/2006">
      <mc:Choice Requires="x14">
        <oleObject shapeId="108563" progId="Equation.KSEE3" r:id="rId39">
          <objectPr defaultSize="0" r:id="rId40">
            <anchor moveWithCells="1">
              <from>
                <xdr:col>3</xdr:col>
                <xdr:colOff>447675</xdr:colOff>
                <xdr:row>50</xdr:row>
                <xdr:rowOff>85725</xdr:rowOff>
              </from>
              <to>
                <xdr:col>3</xdr:col>
                <xdr:colOff>2638425</xdr:colOff>
                <xdr:row>50</xdr:row>
                <xdr:rowOff>695325</xdr:rowOff>
              </to>
            </anchor>
          </objectPr>
        </oleObject>
      </mc:Choice>
      <mc:Fallback>
        <oleObject shapeId="108563" progId="Equation.KSEE3" r:id="rId39"/>
      </mc:Fallback>
    </mc:AlternateContent>
    <mc:AlternateContent xmlns:mc="http://schemas.openxmlformats.org/markup-compatibility/2006">
      <mc:Choice Requires="x14">
        <oleObject shapeId="108564" progId="Equation.KSEE3" r:id="rId41">
          <objectPr defaultSize="0" r:id="rId42">
            <anchor moveWithCells="1">
              <from>
                <xdr:col>3</xdr:col>
                <xdr:colOff>990600</xdr:colOff>
                <xdr:row>82</xdr:row>
                <xdr:rowOff>38100</xdr:rowOff>
              </from>
              <to>
                <xdr:col>3</xdr:col>
                <xdr:colOff>1857375</xdr:colOff>
                <xdr:row>82</xdr:row>
                <xdr:rowOff>523875</xdr:rowOff>
              </to>
            </anchor>
          </objectPr>
        </oleObject>
      </mc:Choice>
      <mc:Fallback>
        <oleObject shapeId="108564" progId="Equation.KSEE3" r:id="rId41"/>
      </mc:Fallback>
    </mc:AlternateContent>
    <mc:AlternateContent xmlns:mc="http://schemas.openxmlformats.org/markup-compatibility/2006">
      <mc:Choice Requires="x14">
        <oleObject shapeId="108565" progId="Equation.KSEE3" r:id="rId43">
          <objectPr defaultSize="0" r:id="rId44">
            <anchor moveWithCells="1">
              <from>
                <xdr:col>3</xdr:col>
                <xdr:colOff>914400</xdr:colOff>
                <xdr:row>84</xdr:row>
                <xdr:rowOff>85725</xdr:rowOff>
              </from>
              <to>
                <xdr:col>3</xdr:col>
                <xdr:colOff>1895475</xdr:colOff>
                <xdr:row>84</xdr:row>
                <xdr:rowOff>523875</xdr:rowOff>
              </to>
            </anchor>
          </objectPr>
        </oleObject>
      </mc:Choice>
      <mc:Fallback>
        <oleObject shapeId="108565" progId="Equation.KSEE3" r:id="rId43"/>
      </mc:Fallback>
    </mc:AlternateContent>
    <mc:AlternateContent xmlns:mc="http://schemas.openxmlformats.org/markup-compatibility/2006">
      <mc:Choice Requires="x14">
        <oleObject shapeId="108566" progId="Equation.KSEE3" r:id="rId45">
          <objectPr defaultSize="0" r:id="rId46">
            <anchor moveWithCells="1">
              <from>
                <xdr:col>3</xdr:col>
                <xdr:colOff>552450</xdr:colOff>
                <xdr:row>87</xdr:row>
                <xdr:rowOff>57150</xdr:rowOff>
              </from>
              <to>
                <xdr:col>3</xdr:col>
                <xdr:colOff>2381250</xdr:colOff>
                <xdr:row>87</xdr:row>
                <xdr:rowOff>542925</xdr:rowOff>
              </to>
            </anchor>
          </objectPr>
        </oleObject>
      </mc:Choice>
      <mc:Fallback>
        <oleObject shapeId="108566" progId="Equation.KSEE3" r:id="rId45"/>
      </mc:Fallback>
    </mc:AlternateContent>
    <mc:AlternateContent xmlns:mc="http://schemas.openxmlformats.org/markup-compatibility/2006">
      <mc:Choice Requires="x14">
        <oleObject shapeId="108567" progId="Equation.KSEE3" r:id="rId47">
          <objectPr defaultSize="0" r:id="rId48">
            <anchor moveWithCells="1">
              <from>
                <xdr:col>3</xdr:col>
                <xdr:colOff>962025</xdr:colOff>
                <xdr:row>83</xdr:row>
                <xdr:rowOff>104775</xdr:rowOff>
              </from>
              <to>
                <xdr:col>3</xdr:col>
                <xdr:colOff>1752600</xdr:colOff>
                <xdr:row>83</xdr:row>
                <xdr:rowOff>542925</xdr:rowOff>
              </to>
            </anchor>
          </objectPr>
        </oleObject>
      </mc:Choice>
      <mc:Fallback>
        <oleObject shapeId="108567" progId="Equation.KSEE3" r:id="rId47"/>
      </mc:Fallback>
    </mc:AlternateContent>
    <mc:AlternateContent xmlns:mc="http://schemas.openxmlformats.org/markup-compatibility/2006">
      <mc:Choice Requires="x14">
        <oleObject shapeId="108568" progId="Equation.KSEE3" r:id="rId49">
          <objectPr defaultSize="0" r:id="rId50">
            <anchor moveWithCells="1">
              <from>
                <xdr:col>3</xdr:col>
                <xdr:colOff>104775</xdr:colOff>
                <xdr:row>88</xdr:row>
                <xdr:rowOff>85725</xdr:rowOff>
              </from>
              <to>
                <xdr:col>3</xdr:col>
                <xdr:colOff>3048000</xdr:colOff>
                <xdr:row>88</xdr:row>
                <xdr:rowOff>1028700</xdr:rowOff>
              </to>
            </anchor>
          </objectPr>
        </oleObject>
      </mc:Choice>
      <mc:Fallback>
        <oleObject shapeId="108568" progId="Equation.KSEE3" r:id="rId49"/>
      </mc:Fallback>
    </mc:AlternateContent>
    <mc:AlternateContent xmlns:mc="http://schemas.openxmlformats.org/markup-compatibility/2006">
      <mc:Choice Requires="x14">
        <oleObject shapeId="108569" progId="Equation.KSEE3" r:id="rId51">
          <objectPr defaultSize="0" r:id="rId52">
            <anchor moveWithCells="1">
              <from>
                <xdr:col>3</xdr:col>
                <xdr:colOff>981075</xdr:colOff>
                <xdr:row>89</xdr:row>
                <xdr:rowOff>66675</xdr:rowOff>
              </from>
              <to>
                <xdr:col>3</xdr:col>
                <xdr:colOff>1638300</xdr:colOff>
                <xdr:row>89</xdr:row>
                <xdr:rowOff>466725</xdr:rowOff>
              </to>
            </anchor>
          </objectPr>
        </oleObject>
      </mc:Choice>
      <mc:Fallback>
        <oleObject shapeId="108569" progId="Equation.KSEE3" r:id="rId51"/>
      </mc:Fallback>
    </mc:AlternateContent>
    <mc:AlternateContent xmlns:mc="http://schemas.openxmlformats.org/markup-compatibility/2006">
      <mc:Choice Requires="x14">
        <oleObject shapeId="108570" progId="Equation.KSEE3" r:id="rId53">
          <objectPr defaultSize="0" r:id="rId54">
            <anchor moveWithCells="1">
              <from>
                <xdr:col>3</xdr:col>
                <xdr:colOff>885825</xdr:colOff>
                <xdr:row>90</xdr:row>
                <xdr:rowOff>76200</xdr:rowOff>
              </from>
              <to>
                <xdr:col>3</xdr:col>
                <xdr:colOff>1800225</xdr:colOff>
                <xdr:row>90</xdr:row>
                <xdr:rowOff>504825</xdr:rowOff>
              </to>
            </anchor>
          </objectPr>
        </oleObject>
      </mc:Choice>
      <mc:Fallback>
        <oleObject shapeId="108570" progId="Equation.KSEE3" r:id="rId53"/>
      </mc:Fallback>
    </mc:AlternateContent>
    <mc:AlternateContent xmlns:mc="http://schemas.openxmlformats.org/markup-compatibility/2006">
      <mc:Choice Requires="x14">
        <oleObject shapeId="108571" progId="Equation.KSEE3" r:id="rId55">
          <objectPr defaultSize="0" r:id="rId56">
            <anchor moveWithCells="1">
              <from>
                <xdr:col>3</xdr:col>
                <xdr:colOff>904875</xdr:colOff>
                <xdr:row>91</xdr:row>
                <xdr:rowOff>76200</xdr:rowOff>
              </from>
              <to>
                <xdr:col>3</xdr:col>
                <xdr:colOff>1800225</xdr:colOff>
                <xdr:row>91</xdr:row>
                <xdr:rowOff>561975</xdr:rowOff>
              </to>
            </anchor>
          </objectPr>
        </oleObject>
      </mc:Choice>
      <mc:Fallback>
        <oleObject shapeId="108571" progId="Equation.KSEE3" r:id="rId55"/>
      </mc:Fallback>
    </mc:AlternateContent>
    <mc:AlternateContent xmlns:mc="http://schemas.openxmlformats.org/markup-compatibility/2006">
      <mc:Choice Requires="x14">
        <oleObject shapeId="108572" progId="Equation.KSEE3" r:id="rId57">
          <objectPr defaultSize="0" r:id="rId58">
            <anchor moveWithCells="1">
              <from>
                <xdr:col>3</xdr:col>
                <xdr:colOff>828675</xdr:colOff>
                <xdr:row>94</xdr:row>
                <xdr:rowOff>95250</xdr:rowOff>
              </from>
              <to>
                <xdr:col>3</xdr:col>
                <xdr:colOff>2009775</xdr:colOff>
                <xdr:row>94</xdr:row>
                <xdr:rowOff>581025</xdr:rowOff>
              </to>
            </anchor>
          </objectPr>
        </oleObject>
      </mc:Choice>
      <mc:Fallback>
        <oleObject shapeId="108572" progId="Equation.KSEE3" r:id="rId57"/>
      </mc:Fallback>
    </mc:AlternateContent>
    <mc:AlternateContent xmlns:mc="http://schemas.openxmlformats.org/markup-compatibility/2006">
      <mc:Choice Requires="x14">
        <oleObject shapeId="108573" progId="Equation.KSEE3" r:id="rId59">
          <objectPr defaultSize="0" r:id="rId60">
            <anchor moveWithCells="1">
              <from>
                <xdr:col>3</xdr:col>
                <xdr:colOff>885825</xdr:colOff>
                <xdr:row>95</xdr:row>
                <xdr:rowOff>76200</xdr:rowOff>
              </from>
              <to>
                <xdr:col>3</xdr:col>
                <xdr:colOff>1876425</xdr:colOff>
                <xdr:row>95</xdr:row>
                <xdr:rowOff>504825</xdr:rowOff>
              </to>
            </anchor>
          </objectPr>
        </oleObject>
      </mc:Choice>
      <mc:Fallback>
        <oleObject shapeId="108573" progId="Equation.KSEE3" r:id="rId59"/>
      </mc:Fallback>
    </mc:AlternateContent>
    <mc:AlternateContent xmlns:mc="http://schemas.openxmlformats.org/markup-compatibility/2006">
      <mc:Choice Requires="x14">
        <oleObject shapeId="108574" progId="Equation.KSEE3" r:id="rId61">
          <objectPr defaultSize="0" r:id="rId62">
            <anchor moveWithCells="1">
              <from>
                <xdr:col>3</xdr:col>
                <xdr:colOff>666750</xdr:colOff>
                <xdr:row>96</xdr:row>
                <xdr:rowOff>104775</xdr:rowOff>
              </from>
              <to>
                <xdr:col>3</xdr:col>
                <xdr:colOff>2085975</xdr:colOff>
                <xdr:row>96</xdr:row>
                <xdr:rowOff>352425</xdr:rowOff>
              </to>
            </anchor>
          </objectPr>
        </oleObject>
      </mc:Choice>
      <mc:Fallback>
        <oleObject shapeId="108574" progId="Equation.KSEE3" r:id="rId61"/>
      </mc:Fallback>
    </mc:AlternateContent>
    <mc:AlternateContent xmlns:mc="http://schemas.openxmlformats.org/markup-compatibility/2006">
      <mc:Choice Requires="x14">
        <oleObject shapeId="108575" progId="Equation.KSEE3" r:id="rId63">
          <objectPr defaultSize="0" r:id="rId64">
            <anchor moveWithCells="1">
              <from>
                <xdr:col>3</xdr:col>
                <xdr:colOff>447675</xdr:colOff>
                <xdr:row>97</xdr:row>
                <xdr:rowOff>66675</xdr:rowOff>
              </from>
              <to>
                <xdr:col>3</xdr:col>
                <xdr:colOff>2571750</xdr:colOff>
                <xdr:row>97</xdr:row>
                <xdr:rowOff>581025</xdr:rowOff>
              </to>
            </anchor>
          </objectPr>
        </oleObject>
      </mc:Choice>
      <mc:Fallback>
        <oleObject shapeId="108575" progId="Equation.KSEE3" r:id="rId63"/>
      </mc:Fallback>
    </mc:AlternateContent>
    <mc:AlternateContent xmlns:mc="http://schemas.openxmlformats.org/markup-compatibility/2006">
      <mc:Choice Requires="x14">
        <oleObject shapeId="108576" progId="Equation.KSEE3" r:id="rId65">
          <objectPr defaultSize="0" r:id="rId66">
            <anchor moveWithCells="1">
              <from>
                <xdr:col>3</xdr:col>
                <xdr:colOff>1038225</xdr:colOff>
                <xdr:row>100</xdr:row>
                <xdr:rowOff>104775</xdr:rowOff>
              </from>
              <to>
                <xdr:col>3</xdr:col>
                <xdr:colOff>1743075</xdr:colOff>
                <xdr:row>100</xdr:row>
                <xdr:rowOff>333375</xdr:rowOff>
              </to>
            </anchor>
          </objectPr>
        </oleObject>
      </mc:Choice>
      <mc:Fallback>
        <oleObject shapeId="108576" progId="Equation.KSEE3" r:id="rId65"/>
      </mc:Fallback>
    </mc:AlternateContent>
    <mc:AlternateContent xmlns:mc="http://schemas.openxmlformats.org/markup-compatibility/2006">
      <mc:Choice Requires="x14">
        <oleObject shapeId="108577" progId="Equation.KSEE3" r:id="rId67">
          <objectPr defaultSize="0" r:id="rId68">
            <anchor moveWithCells="1">
              <from>
                <xdr:col>3</xdr:col>
                <xdr:colOff>685800</xdr:colOff>
                <xdr:row>101</xdr:row>
                <xdr:rowOff>76200</xdr:rowOff>
              </from>
              <to>
                <xdr:col>3</xdr:col>
                <xdr:colOff>2219325</xdr:colOff>
                <xdr:row>101</xdr:row>
                <xdr:rowOff>581025</xdr:rowOff>
              </to>
            </anchor>
          </objectPr>
        </oleObject>
      </mc:Choice>
      <mc:Fallback>
        <oleObject shapeId="108577" progId="Equation.KSEE3" r:id="rId67"/>
      </mc:Fallback>
    </mc:AlternateContent>
    <mc:AlternateContent xmlns:mc="http://schemas.openxmlformats.org/markup-compatibility/2006">
      <mc:Choice Requires="x14">
        <oleObject shapeId="108578" progId="Equation.KSEE3" r:id="rId69">
          <objectPr defaultSize="0" r:id="rId70">
            <anchor moveWithCells="1">
              <from>
                <xdr:col>3</xdr:col>
                <xdr:colOff>1038225</xdr:colOff>
                <xdr:row>102</xdr:row>
                <xdr:rowOff>57150</xdr:rowOff>
              </from>
              <to>
                <xdr:col>3</xdr:col>
                <xdr:colOff>1838325</xdr:colOff>
                <xdr:row>102</xdr:row>
                <xdr:rowOff>542925</xdr:rowOff>
              </to>
            </anchor>
          </objectPr>
        </oleObject>
      </mc:Choice>
      <mc:Fallback>
        <oleObject shapeId="108578" progId="Equation.KSEE3" r:id="rId69"/>
      </mc:Fallback>
    </mc:AlternateContent>
    <mc:AlternateContent xmlns:mc="http://schemas.openxmlformats.org/markup-compatibility/2006">
      <mc:Choice Requires="x14">
        <oleObject shapeId="108579" progId="Equation.KSEE3" r:id="rId71">
          <objectPr defaultSize="0" r:id="rId72">
            <anchor moveWithCells="1">
              <from>
                <xdr:col>3</xdr:col>
                <xdr:colOff>590550</xdr:colOff>
                <xdr:row>103</xdr:row>
                <xdr:rowOff>57150</xdr:rowOff>
              </from>
              <to>
                <xdr:col>3</xdr:col>
                <xdr:colOff>2343150</xdr:colOff>
                <xdr:row>103</xdr:row>
                <xdr:rowOff>619125</xdr:rowOff>
              </to>
            </anchor>
          </objectPr>
        </oleObject>
      </mc:Choice>
      <mc:Fallback>
        <oleObject shapeId="108579" progId="Equation.KSEE3" r:id="rId71"/>
      </mc:Fallback>
    </mc:AlternateContent>
    <mc:AlternateContent xmlns:mc="http://schemas.openxmlformats.org/markup-compatibility/2006">
      <mc:Choice Requires="x14">
        <oleObject shapeId="108580" progId="Equation.KSEE3" r:id="rId73">
          <objectPr defaultSize="0" r:id="rId74">
            <anchor moveWithCells="1">
              <from>
                <xdr:col>3</xdr:col>
                <xdr:colOff>1057275</xdr:colOff>
                <xdr:row>105</xdr:row>
                <xdr:rowOff>66675</xdr:rowOff>
              </from>
              <to>
                <xdr:col>3</xdr:col>
                <xdr:colOff>1743075</xdr:colOff>
                <xdr:row>105</xdr:row>
                <xdr:rowOff>495300</xdr:rowOff>
              </to>
            </anchor>
          </objectPr>
        </oleObject>
      </mc:Choice>
      <mc:Fallback>
        <oleObject shapeId="108580" progId="Equation.KSEE3" r:id="rId73"/>
      </mc:Fallback>
    </mc:AlternateContent>
    <mc:AlternateContent xmlns:mc="http://schemas.openxmlformats.org/markup-compatibility/2006">
      <mc:Choice Requires="x14">
        <oleObject shapeId="108581" progId="Equation.KSEE3" r:id="rId75">
          <objectPr defaultSize="0" r:id="rId76">
            <anchor moveWithCells="1">
              <from>
                <xdr:col>3</xdr:col>
                <xdr:colOff>742950</xdr:colOff>
                <xdr:row>106</xdr:row>
                <xdr:rowOff>66675</xdr:rowOff>
              </from>
              <to>
                <xdr:col>3</xdr:col>
                <xdr:colOff>1914525</xdr:colOff>
                <xdr:row>106</xdr:row>
                <xdr:rowOff>333375</xdr:rowOff>
              </to>
            </anchor>
          </objectPr>
        </oleObject>
      </mc:Choice>
      <mc:Fallback>
        <oleObject shapeId="108581" progId="Equation.KSEE3" r:id="rId75"/>
      </mc:Fallback>
    </mc:AlternateContent>
    <mc:AlternateContent xmlns:mc="http://schemas.openxmlformats.org/markup-compatibility/2006">
      <mc:Choice Requires="x14">
        <oleObject shapeId="108582" progId="Equation.KSEE3" r:id="rId77">
          <objectPr defaultSize="0" r:id="rId78">
            <anchor moveWithCells="1">
              <from>
                <xdr:col>3</xdr:col>
                <xdr:colOff>1066800</xdr:colOff>
                <xdr:row>108</xdr:row>
                <xdr:rowOff>38100</xdr:rowOff>
              </from>
              <to>
                <xdr:col>3</xdr:col>
                <xdr:colOff>1781175</xdr:colOff>
                <xdr:row>108</xdr:row>
                <xdr:rowOff>466725</xdr:rowOff>
              </to>
            </anchor>
          </objectPr>
        </oleObject>
      </mc:Choice>
      <mc:Fallback>
        <oleObject shapeId="108582" progId="Equation.KSEE3" r:id="rId77"/>
      </mc:Fallback>
    </mc:AlternateContent>
    <mc:AlternateContent xmlns:mc="http://schemas.openxmlformats.org/markup-compatibility/2006">
      <mc:Choice Requires="x14">
        <oleObject shapeId="108583" progId="Equation.KSEE3" r:id="rId79">
          <objectPr defaultSize="0" r:id="rId80">
            <anchor moveWithCells="1">
              <from>
                <xdr:col>3</xdr:col>
                <xdr:colOff>1019175</xdr:colOff>
                <xdr:row>111</xdr:row>
                <xdr:rowOff>38100</xdr:rowOff>
              </from>
              <to>
                <xdr:col>3</xdr:col>
                <xdr:colOff>1838325</xdr:colOff>
                <xdr:row>111</xdr:row>
                <xdr:rowOff>466725</xdr:rowOff>
              </to>
            </anchor>
          </objectPr>
        </oleObject>
      </mc:Choice>
      <mc:Fallback>
        <oleObject shapeId="108583" progId="Equation.KSEE3" r:id="rId79"/>
      </mc:Fallback>
    </mc:AlternateContent>
    <mc:AlternateContent xmlns:mc="http://schemas.openxmlformats.org/markup-compatibility/2006">
      <mc:Choice Requires="x14">
        <oleObject shapeId="108584" progId="Equation.KSEE3" r:id="rId81">
          <objectPr defaultSize="0" r:id="rId82">
            <anchor moveWithCells="1">
              <from>
                <xdr:col>3</xdr:col>
                <xdr:colOff>1038225</xdr:colOff>
                <xdr:row>112</xdr:row>
                <xdr:rowOff>57150</xdr:rowOff>
              </from>
              <to>
                <xdr:col>3</xdr:col>
                <xdr:colOff>1809750</xdr:colOff>
                <xdr:row>112</xdr:row>
                <xdr:rowOff>514350</xdr:rowOff>
              </to>
            </anchor>
          </objectPr>
        </oleObject>
      </mc:Choice>
      <mc:Fallback>
        <oleObject shapeId="108584" progId="Equation.KSEE3" r:id="rId81"/>
      </mc:Fallback>
    </mc:AlternateContent>
    <mc:AlternateContent xmlns:mc="http://schemas.openxmlformats.org/markup-compatibility/2006">
      <mc:Choice Requires="x14">
        <oleObject shapeId="108585" progId="Equation.KSEE3" r:id="rId83">
          <objectPr defaultSize="0" r:id="rId84">
            <anchor moveWithCells="1">
              <from>
                <xdr:col>3</xdr:col>
                <xdr:colOff>476250</xdr:colOff>
                <xdr:row>113</xdr:row>
                <xdr:rowOff>66675</xdr:rowOff>
              </from>
              <to>
                <xdr:col>3</xdr:col>
                <xdr:colOff>2276475</xdr:colOff>
                <xdr:row>113</xdr:row>
                <xdr:rowOff>571500</xdr:rowOff>
              </to>
            </anchor>
          </objectPr>
        </oleObject>
      </mc:Choice>
      <mc:Fallback>
        <oleObject shapeId="108585" progId="Equation.KSEE3" r:id="rId83"/>
      </mc:Fallback>
    </mc:AlternateContent>
    <mc:AlternateContent xmlns:mc="http://schemas.openxmlformats.org/markup-compatibility/2006">
      <mc:Choice Requires="x14">
        <oleObject shapeId="108586" progId="Equation.KSEE3" r:id="rId85">
          <objectPr defaultSize="0" r:id="rId86">
            <anchor moveWithCells="1">
              <from>
                <xdr:col>3</xdr:col>
                <xdr:colOff>952500</xdr:colOff>
                <xdr:row>117</xdr:row>
                <xdr:rowOff>85725</xdr:rowOff>
              </from>
              <to>
                <xdr:col>3</xdr:col>
                <xdr:colOff>1762125</xdr:colOff>
                <xdr:row>117</xdr:row>
                <xdr:rowOff>314325</xdr:rowOff>
              </to>
            </anchor>
          </objectPr>
        </oleObject>
      </mc:Choice>
      <mc:Fallback>
        <oleObject shapeId="108586" progId="Equation.KSEE3" r:id="rId85"/>
      </mc:Fallback>
    </mc:AlternateContent>
    <mc:AlternateContent xmlns:mc="http://schemas.openxmlformats.org/markup-compatibility/2006">
      <mc:Choice Requires="x14">
        <oleObject shapeId="108587" progId="Equation.KSEE3" r:id="rId87">
          <objectPr defaultSize="0" r:id="rId88">
            <anchor moveWithCells="1">
              <from>
                <xdr:col>3</xdr:col>
                <xdr:colOff>1095375</xdr:colOff>
                <xdr:row>116</xdr:row>
                <xdr:rowOff>38100</xdr:rowOff>
              </from>
              <to>
                <xdr:col>3</xdr:col>
                <xdr:colOff>1724025</xdr:colOff>
                <xdr:row>116</xdr:row>
                <xdr:rowOff>466725</xdr:rowOff>
              </to>
            </anchor>
          </objectPr>
        </oleObject>
      </mc:Choice>
      <mc:Fallback>
        <oleObject shapeId="108587" progId="Equation.KSEE3" r:id="rId87"/>
      </mc:Fallback>
    </mc:AlternateContent>
    <mc:AlternateContent xmlns:mc="http://schemas.openxmlformats.org/markup-compatibility/2006">
      <mc:Choice Requires="x14">
        <oleObject shapeId="108588" progId="Equation.KSEE3" r:id="rId89">
          <objectPr defaultSize="0" r:id="rId90">
            <anchor moveWithCells="1">
              <from>
                <xdr:col>3</xdr:col>
                <xdr:colOff>504825</xdr:colOff>
                <xdr:row>118</xdr:row>
                <xdr:rowOff>47625</xdr:rowOff>
              </from>
              <to>
                <xdr:col>3</xdr:col>
                <xdr:colOff>2390775</xdr:colOff>
                <xdr:row>118</xdr:row>
                <xdr:rowOff>523875</xdr:rowOff>
              </to>
            </anchor>
          </objectPr>
        </oleObject>
      </mc:Choice>
      <mc:Fallback>
        <oleObject shapeId="108588" progId="Equation.KSEE3" r:id="rId89"/>
      </mc:Fallback>
    </mc:AlternateContent>
    <mc:AlternateContent xmlns:mc="http://schemas.openxmlformats.org/markup-compatibility/2006">
      <mc:Choice Requires="x14">
        <oleObject shapeId="108589" progId="Equation.KSEE3" r:id="rId91">
          <objectPr defaultSize="0" r:id="rId92">
            <anchor moveWithCells="1">
              <from>
                <xdr:col>3</xdr:col>
                <xdr:colOff>123825</xdr:colOff>
                <xdr:row>119</xdr:row>
                <xdr:rowOff>57150</xdr:rowOff>
              </from>
              <to>
                <xdr:col>3</xdr:col>
                <xdr:colOff>2847975</xdr:colOff>
                <xdr:row>119</xdr:row>
                <xdr:rowOff>942975</xdr:rowOff>
              </to>
            </anchor>
          </objectPr>
        </oleObject>
      </mc:Choice>
      <mc:Fallback>
        <oleObject shapeId="108589" progId="Equation.KSEE3" r:id="rId91"/>
      </mc:Fallback>
    </mc:AlternateContent>
    <mc:AlternateContent xmlns:mc="http://schemas.openxmlformats.org/markup-compatibility/2006">
      <mc:Choice Requires="x14">
        <oleObject shapeId="108590" progId="Equation.KSEE3" r:id="rId93">
          <objectPr defaultSize="0" r:id="rId94">
            <anchor moveWithCells="1">
              <from>
                <xdr:col>3</xdr:col>
                <xdr:colOff>104775</xdr:colOff>
                <xdr:row>120</xdr:row>
                <xdr:rowOff>66675</xdr:rowOff>
              </from>
              <to>
                <xdr:col>3</xdr:col>
                <xdr:colOff>2943225</xdr:colOff>
                <xdr:row>120</xdr:row>
                <xdr:rowOff>552450</xdr:rowOff>
              </to>
            </anchor>
          </objectPr>
        </oleObject>
      </mc:Choice>
      <mc:Fallback>
        <oleObject shapeId="108590" progId="Equation.KSEE3" r:id="rId93"/>
      </mc:Fallback>
    </mc:AlternateContent>
    <mc:AlternateContent xmlns:mc="http://schemas.openxmlformats.org/markup-compatibility/2006">
      <mc:Choice Requires="x14">
        <oleObject shapeId="108591" progId="Equation.KSEE3" r:id="rId95">
          <objectPr defaultSize="0" r:id="rId96">
            <anchor moveWithCells="1">
              <from>
                <xdr:col>3</xdr:col>
                <xdr:colOff>466725</xdr:colOff>
                <xdr:row>121</xdr:row>
                <xdr:rowOff>104775</xdr:rowOff>
              </from>
              <to>
                <xdr:col>3</xdr:col>
                <xdr:colOff>2371725</xdr:colOff>
                <xdr:row>121</xdr:row>
                <xdr:rowOff>352425</xdr:rowOff>
              </to>
            </anchor>
          </objectPr>
        </oleObject>
      </mc:Choice>
      <mc:Fallback>
        <oleObject shapeId="108591" progId="Equation.KSEE3" r:id="rId95"/>
      </mc:Fallback>
    </mc:AlternateContent>
    <mc:AlternateContent xmlns:mc="http://schemas.openxmlformats.org/markup-compatibility/2006">
      <mc:Choice Requires="x14">
        <oleObject shapeId="108592" progId="Equation.KSEE3" r:id="rId97">
          <objectPr defaultSize="0" r:id="rId98">
            <anchor moveWithCells="1">
              <from>
                <xdr:col>3</xdr:col>
                <xdr:colOff>828675</xdr:colOff>
                <xdr:row>65</xdr:row>
                <xdr:rowOff>47625</xdr:rowOff>
              </from>
              <to>
                <xdr:col>3</xdr:col>
                <xdr:colOff>1952625</xdr:colOff>
                <xdr:row>65</xdr:row>
                <xdr:rowOff>323850</xdr:rowOff>
              </to>
            </anchor>
          </objectPr>
        </oleObject>
      </mc:Choice>
      <mc:Fallback>
        <oleObject shapeId="108592" progId="Equation.KSEE3" r:id="rId97"/>
      </mc:Fallback>
    </mc:AlternateContent>
    <mc:AlternateContent xmlns:mc="http://schemas.openxmlformats.org/markup-compatibility/2006">
      <mc:Choice Requires="x14">
        <oleObject shapeId="108593" progId="Equation.KSEE3" r:id="rId99">
          <objectPr defaultSize="0" r:id="rId100">
            <anchor moveWithCells="1">
              <from>
                <xdr:col>3</xdr:col>
                <xdr:colOff>762000</xdr:colOff>
                <xdr:row>66</xdr:row>
                <xdr:rowOff>76200</xdr:rowOff>
              </from>
              <to>
                <xdr:col>3</xdr:col>
                <xdr:colOff>2314575</xdr:colOff>
                <xdr:row>66</xdr:row>
                <xdr:rowOff>561975</xdr:rowOff>
              </to>
            </anchor>
          </objectPr>
        </oleObject>
      </mc:Choice>
      <mc:Fallback>
        <oleObject shapeId="108593" progId="Equation.KSEE3" r:id="rId99"/>
      </mc:Fallback>
    </mc:AlternateContent>
    <mc:AlternateContent xmlns:mc="http://schemas.openxmlformats.org/markup-compatibility/2006">
      <mc:Choice Requires="x14">
        <oleObject shapeId="108594" progId="Equation.KSEE3" r:id="rId101">
          <objectPr defaultSize="0" r:id="rId102">
            <anchor moveWithCells="1">
              <from>
                <xdr:col>3</xdr:col>
                <xdr:colOff>962025</xdr:colOff>
                <xdr:row>67</xdr:row>
                <xdr:rowOff>47625</xdr:rowOff>
              </from>
              <to>
                <xdr:col>3</xdr:col>
                <xdr:colOff>1962150</xdr:colOff>
                <xdr:row>67</xdr:row>
                <xdr:rowOff>523875</xdr:rowOff>
              </to>
            </anchor>
          </objectPr>
        </oleObject>
      </mc:Choice>
      <mc:Fallback>
        <oleObject shapeId="108594" progId="Equation.KSEE3" r:id="rId101"/>
      </mc:Fallback>
    </mc:AlternateContent>
    <mc:AlternateContent xmlns:mc="http://schemas.openxmlformats.org/markup-compatibility/2006">
      <mc:Choice Requires="x14">
        <oleObject shapeId="108595" progId="Equation.KSEE3" r:id="rId103">
          <objectPr defaultSize="0" r:id="rId104">
            <anchor moveWithCells="1">
              <from>
                <xdr:col>3</xdr:col>
                <xdr:colOff>828675</xdr:colOff>
                <xdr:row>69</xdr:row>
                <xdr:rowOff>47625</xdr:rowOff>
              </from>
              <to>
                <xdr:col>3</xdr:col>
                <xdr:colOff>1914525</xdr:colOff>
                <xdr:row>69</xdr:row>
                <xdr:rowOff>323850</xdr:rowOff>
              </to>
            </anchor>
          </objectPr>
        </oleObject>
      </mc:Choice>
      <mc:Fallback>
        <oleObject shapeId="108595" progId="Equation.KSEE3" r:id="rId103"/>
      </mc:Fallback>
    </mc:AlternateContent>
    <mc:AlternateContent xmlns:mc="http://schemas.openxmlformats.org/markup-compatibility/2006">
      <mc:Choice Requires="x14">
        <oleObject shapeId="108596" progId="Equation.KSEE3" r:id="rId105">
          <objectPr defaultSize="0" r:id="rId106">
            <anchor moveWithCells="1">
              <from>
                <xdr:col>3</xdr:col>
                <xdr:colOff>962025</xdr:colOff>
                <xdr:row>70</xdr:row>
                <xdr:rowOff>38100</xdr:rowOff>
              </from>
              <to>
                <xdr:col>3</xdr:col>
                <xdr:colOff>1800225</xdr:colOff>
                <xdr:row>70</xdr:row>
                <xdr:rowOff>266700</xdr:rowOff>
              </to>
            </anchor>
          </objectPr>
        </oleObject>
      </mc:Choice>
      <mc:Fallback>
        <oleObject shapeId="108596" progId="Equation.KSEE3" r:id="rId105"/>
      </mc:Fallback>
    </mc:AlternateContent>
    <mc:AlternateContent xmlns:mc="http://schemas.openxmlformats.org/markup-compatibility/2006">
      <mc:Choice Requires="x14">
        <oleObject shapeId="108597" progId="Equation.KSEE3" r:id="rId107">
          <objectPr defaultSize="0" r:id="rId108">
            <anchor moveWithCells="1">
              <from>
                <xdr:col>3</xdr:col>
                <xdr:colOff>828675</xdr:colOff>
                <xdr:row>75</xdr:row>
                <xdr:rowOff>57150</xdr:rowOff>
              </from>
              <to>
                <xdr:col>3</xdr:col>
                <xdr:colOff>2143125</xdr:colOff>
                <xdr:row>75</xdr:row>
                <xdr:rowOff>552450</xdr:rowOff>
              </to>
            </anchor>
          </objectPr>
        </oleObject>
      </mc:Choice>
      <mc:Fallback>
        <oleObject shapeId="108597" progId="Equation.KSEE3" r:id="rId107"/>
      </mc:Fallback>
    </mc:AlternateContent>
    <mc:AlternateContent xmlns:mc="http://schemas.openxmlformats.org/markup-compatibility/2006">
      <mc:Choice Requires="x14">
        <oleObject shapeId="108598" progId="Equation.KSEE3" r:id="rId109">
          <objectPr defaultSize="0" r:id="rId110">
            <anchor moveWithCells="1">
              <from>
                <xdr:col>3</xdr:col>
                <xdr:colOff>647700</xdr:colOff>
                <xdr:row>77</xdr:row>
                <xdr:rowOff>47625</xdr:rowOff>
              </from>
              <to>
                <xdr:col>3</xdr:col>
                <xdr:colOff>2247900</xdr:colOff>
                <xdr:row>77</xdr:row>
                <xdr:rowOff>523875</xdr:rowOff>
              </to>
            </anchor>
          </objectPr>
        </oleObject>
      </mc:Choice>
      <mc:Fallback>
        <oleObject shapeId="108598" progId="Equation.KSEE3" r:id="rId109"/>
      </mc:Fallback>
    </mc:AlternateContent>
    <mc:AlternateContent xmlns:mc="http://schemas.openxmlformats.org/markup-compatibility/2006">
      <mc:Choice Requires="x14">
        <oleObject shapeId="108599" progId="Equation.KSEE3" r:id="rId111">
          <objectPr defaultSize="0" r:id="rId112">
            <anchor moveWithCells="1">
              <from>
                <xdr:col>3</xdr:col>
                <xdr:colOff>828675</xdr:colOff>
                <xdr:row>73</xdr:row>
                <xdr:rowOff>85725</xdr:rowOff>
              </from>
              <to>
                <xdr:col>3</xdr:col>
                <xdr:colOff>2276475</xdr:colOff>
                <xdr:row>73</xdr:row>
                <xdr:rowOff>514350</xdr:rowOff>
              </to>
            </anchor>
          </objectPr>
        </oleObject>
      </mc:Choice>
      <mc:Fallback>
        <oleObject shapeId="108599" progId="Equation.KSEE3" r:id="rId111"/>
      </mc:Fallback>
    </mc:AlternateContent>
    <mc:AlternateContent xmlns:mc="http://schemas.openxmlformats.org/markup-compatibility/2006">
      <mc:Choice Requires="x14">
        <oleObject shapeId="108600" progId="Equation.KSEE3" r:id="rId113">
          <objectPr defaultSize="0" r:id="rId114">
            <anchor moveWithCells="1">
              <from>
                <xdr:col>3</xdr:col>
                <xdr:colOff>962025</xdr:colOff>
                <xdr:row>74</xdr:row>
                <xdr:rowOff>38100</xdr:rowOff>
              </from>
              <to>
                <xdr:col>3</xdr:col>
                <xdr:colOff>1809750</xdr:colOff>
                <xdr:row>74</xdr:row>
                <xdr:rowOff>266700</xdr:rowOff>
              </to>
            </anchor>
          </objectPr>
        </oleObject>
      </mc:Choice>
      <mc:Fallback>
        <oleObject shapeId="108600" progId="Equation.KSEE3" r:id="rId113"/>
      </mc:Fallback>
    </mc:AlternateContent>
    <mc:AlternateContent xmlns:mc="http://schemas.openxmlformats.org/markup-compatibility/2006">
      <mc:Choice Requires="x14">
        <oleObject shapeId="108601" progId="Equation.KSEE3" r:id="rId115">
          <objectPr defaultSize="0" r:id="rId102">
            <anchor moveWithCells="1">
              <from>
                <xdr:col>3</xdr:col>
                <xdr:colOff>962025</xdr:colOff>
                <xdr:row>71</xdr:row>
                <xdr:rowOff>47625</xdr:rowOff>
              </from>
              <to>
                <xdr:col>3</xdr:col>
                <xdr:colOff>1962150</xdr:colOff>
                <xdr:row>71</xdr:row>
                <xdr:rowOff>523875</xdr:rowOff>
              </to>
            </anchor>
          </objectPr>
        </oleObject>
      </mc:Choice>
      <mc:Fallback>
        <oleObject shapeId="108601" progId="Equation.KSEE3" r:id="rId115"/>
      </mc:Fallback>
    </mc:AlternateContent>
    <mc:AlternateContent xmlns:mc="http://schemas.openxmlformats.org/markup-compatibility/2006">
      <mc:Choice Requires="x14">
        <oleObject shapeId="108602" progId="Equation.KSEE3" r:id="rId116">
          <objectPr defaultSize="0" r:id="rId117">
            <anchor moveWithCells="1">
              <from>
                <xdr:col>3</xdr:col>
                <xdr:colOff>790575</xdr:colOff>
                <xdr:row>78</xdr:row>
                <xdr:rowOff>57150</xdr:rowOff>
              </from>
              <to>
                <xdr:col>3</xdr:col>
                <xdr:colOff>2276475</xdr:colOff>
                <xdr:row>78</xdr:row>
                <xdr:rowOff>485775</xdr:rowOff>
              </to>
            </anchor>
          </objectPr>
        </oleObject>
      </mc:Choice>
      <mc:Fallback>
        <oleObject shapeId="108602" progId="Equation.KSEE3" r:id="rId116"/>
      </mc:Fallback>
    </mc:AlternateContent>
    <mc:AlternateContent xmlns:mc="http://schemas.openxmlformats.org/markup-compatibility/2006">
      <mc:Choice Requires="x14">
        <oleObject shapeId="108603" progId="Equation.KSEE3" r:id="rId118">
          <objectPr defaultSize="0" r:id="rId119">
            <anchor moveWithCells="1">
              <from>
                <xdr:col>3</xdr:col>
                <xdr:colOff>962025</xdr:colOff>
                <xdr:row>79</xdr:row>
                <xdr:rowOff>38100</xdr:rowOff>
              </from>
              <to>
                <xdr:col>3</xdr:col>
                <xdr:colOff>1800225</xdr:colOff>
                <xdr:row>79</xdr:row>
                <xdr:rowOff>266700</xdr:rowOff>
              </to>
            </anchor>
          </objectPr>
        </oleObject>
      </mc:Choice>
      <mc:Fallback>
        <oleObject shapeId="108603" progId="Equation.KSEE3" r:id="rId118"/>
      </mc:Fallback>
    </mc:AlternateContent>
    <mc:AlternateContent xmlns:mc="http://schemas.openxmlformats.org/markup-compatibility/2006">
      <mc:Choice Requires="x14">
        <oleObject shapeId="108604" progId="Equation.KSEE3" r:id="rId120">
          <objectPr defaultSize="0" r:id="rId121">
            <anchor moveWithCells="1">
              <from>
                <xdr:col>3</xdr:col>
                <xdr:colOff>676275</xdr:colOff>
                <xdr:row>99</xdr:row>
                <xdr:rowOff>38100</xdr:rowOff>
              </from>
              <to>
                <xdr:col>3</xdr:col>
                <xdr:colOff>2619375</xdr:colOff>
                <xdr:row>99</xdr:row>
                <xdr:rowOff>304800</xdr:rowOff>
              </to>
            </anchor>
          </objectPr>
        </oleObject>
      </mc:Choice>
      <mc:Fallback>
        <oleObject shapeId="108604" progId="Equation.KSEE3" r:id="rId120"/>
      </mc:Fallback>
    </mc:AlternateContent>
    <mc:AlternateContent xmlns:mc="http://schemas.openxmlformats.org/markup-compatibility/2006">
      <mc:Choice Requires="x14">
        <oleObject shapeId="108605" progId="Equation.KSEE3" r:id="rId122">
          <objectPr defaultSize="0" r:id="rId123">
            <anchor moveWithCells="1">
              <from>
                <xdr:col>3</xdr:col>
                <xdr:colOff>533400</xdr:colOff>
                <xdr:row>107</xdr:row>
                <xdr:rowOff>47625</xdr:rowOff>
              </from>
              <to>
                <xdr:col>3</xdr:col>
                <xdr:colOff>2695575</xdr:colOff>
                <xdr:row>107</xdr:row>
                <xdr:rowOff>523875</xdr:rowOff>
              </to>
            </anchor>
          </objectPr>
        </oleObject>
      </mc:Choice>
      <mc:Fallback>
        <oleObject shapeId="108605" progId="Equation.KSEE3" r:id="rId122"/>
      </mc:Fallback>
    </mc:AlternateContent>
    <mc:AlternateContent xmlns:mc="http://schemas.openxmlformats.org/markup-compatibility/2006">
      <mc:Choice Requires="x14">
        <oleObject shapeId="108606" progId="Equation.KSEE3" r:id="rId124">
          <objectPr defaultSize="0" r:id="rId125">
            <anchor moveWithCells="1">
              <from>
                <xdr:col>3</xdr:col>
                <xdr:colOff>962025</xdr:colOff>
                <xdr:row>109</xdr:row>
                <xdr:rowOff>47625</xdr:rowOff>
              </from>
              <to>
                <xdr:col>3</xdr:col>
                <xdr:colOff>1971675</xdr:colOff>
                <xdr:row>109</xdr:row>
                <xdr:rowOff>523875</xdr:rowOff>
              </to>
            </anchor>
          </objectPr>
        </oleObject>
      </mc:Choice>
      <mc:Fallback>
        <oleObject shapeId="108606" progId="Equation.KSEE3" r:id="rId124"/>
      </mc:Fallback>
    </mc:AlternateContent>
    <mc:AlternateContent xmlns:mc="http://schemas.openxmlformats.org/markup-compatibility/2006">
      <mc:Choice Requires="x14">
        <oleObject shapeId="108607" progId="Equation.KSEE3" r:id="rId126">
          <objectPr defaultSize="0" r:id="rId127">
            <anchor moveWithCells="1">
              <from>
                <xdr:col>3</xdr:col>
                <xdr:colOff>1028700</xdr:colOff>
                <xdr:row>114</xdr:row>
                <xdr:rowOff>47625</xdr:rowOff>
              </from>
              <to>
                <xdr:col>3</xdr:col>
                <xdr:colOff>1800225</xdr:colOff>
                <xdr:row>114</xdr:row>
                <xdr:rowOff>485775</xdr:rowOff>
              </to>
            </anchor>
          </objectPr>
        </oleObject>
      </mc:Choice>
      <mc:Fallback>
        <oleObject shapeId="108607" progId="Equation.KSEE3" r:id="rId126"/>
      </mc:Fallback>
    </mc:AlternateContent>
    <mc:AlternateContent xmlns:mc="http://schemas.openxmlformats.org/markup-compatibility/2006">
      <mc:Choice Requires="x14">
        <oleObject shapeId="108608" progId="Equation.KSEE3" r:id="rId128">
          <objectPr defaultSize="0" r:id="rId129">
            <anchor moveWithCells="1">
              <from>
                <xdr:col>3</xdr:col>
                <xdr:colOff>904875</xdr:colOff>
                <xdr:row>115</xdr:row>
                <xdr:rowOff>66675</xdr:rowOff>
              </from>
              <to>
                <xdr:col>3</xdr:col>
                <xdr:colOff>1857375</xdr:colOff>
                <xdr:row>115</xdr:row>
                <xdr:rowOff>295275</xdr:rowOff>
              </to>
            </anchor>
          </objectPr>
        </oleObject>
      </mc:Choice>
      <mc:Fallback>
        <oleObject shapeId="108608" progId="Equation.KSEE3" r:id="rId128"/>
      </mc:Fallback>
    </mc:AlternateContent>
    <mc:AlternateContent xmlns:mc="http://schemas.openxmlformats.org/markup-compatibility/2006">
      <mc:Choice Requires="x14">
        <oleObject shapeId="108609" progId="Equation.KSEE3" r:id="rId130">
          <objectPr defaultSize="0" r:id="rId76">
            <anchor moveWithCells="1">
              <from>
                <xdr:col>3</xdr:col>
                <xdr:colOff>742950</xdr:colOff>
                <xdr:row>47</xdr:row>
                <xdr:rowOff>66675</xdr:rowOff>
              </from>
              <to>
                <xdr:col>3</xdr:col>
                <xdr:colOff>1914525</xdr:colOff>
                <xdr:row>47</xdr:row>
                <xdr:rowOff>333375</xdr:rowOff>
              </to>
            </anchor>
          </objectPr>
        </oleObject>
      </mc:Choice>
      <mc:Fallback>
        <oleObject shapeId="108609" progId="Equation.KSEE3" r:id="rId130"/>
      </mc:Fallback>
    </mc:AlternateContent>
    <mc:AlternateContent xmlns:mc="http://schemas.openxmlformats.org/markup-compatibility/2006">
      <mc:Choice Requires="x14">
        <oleObject shapeId="108610" progId="Equation.KSEE3" r:id="rId131">
          <objectPr defaultSize="0" r:id="rId132">
            <anchor moveWithCells="1">
              <from>
                <xdr:col>3</xdr:col>
                <xdr:colOff>828675</xdr:colOff>
                <xdr:row>80</xdr:row>
                <xdr:rowOff>57150</xdr:rowOff>
              </from>
              <to>
                <xdr:col>3</xdr:col>
                <xdr:colOff>2181225</xdr:colOff>
                <xdr:row>80</xdr:row>
                <xdr:rowOff>552450</xdr:rowOff>
              </to>
            </anchor>
          </objectPr>
        </oleObject>
      </mc:Choice>
      <mc:Fallback>
        <oleObject shapeId="108610" progId="Equation.KSEE3" r:id="rId131"/>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H69"/>
  <sheetViews>
    <sheetView zoomScale="85" zoomScaleNormal="85" workbookViewId="0">
      <selection activeCell="J16" sqref="J16"/>
    </sheetView>
  </sheetViews>
  <sheetFormatPr defaultColWidth="8.25" defaultRowHeight="14" outlineLevelCol="7"/>
  <cols>
    <col min="1" max="1" width="11.625" style="11" customWidth="1"/>
    <col min="2" max="2" width="25" style="12" customWidth="1"/>
    <col min="3" max="3" width="10.625" style="11" customWidth="1"/>
    <col min="4" max="4" width="50.125" style="11" customWidth="1"/>
    <col min="5" max="5" width="11.625" style="11" customWidth="1"/>
    <col min="6" max="6" width="12.75" style="13" customWidth="1"/>
    <col min="7" max="16384" width="8.25" style="12"/>
  </cols>
  <sheetData>
    <row r="1" ht="20.25" customHeight="1" spans="1:6">
      <c r="A1" s="14" t="s">
        <v>0</v>
      </c>
      <c r="B1" s="14" t="s">
        <v>595</v>
      </c>
      <c r="C1" s="14" t="s">
        <v>2</v>
      </c>
      <c r="D1" s="14" t="s">
        <v>3</v>
      </c>
      <c r="E1" s="14" t="s">
        <v>4</v>
      </c>
    </row>
    <row r="2" ht="20.25" customHeight="1" spans="1:6">
      <c r="A2" s="15"/>
      <c r="B2" s="15" t="s">
        <v>400</v>
      </c>
      <c r="C2" s="15" t="s">
        <v>596</v>
      </c>
      <c r="D2" s="15" t="s">
        <v>597</v>
      </c>
      <c r="E2" s="16">
        <f>IF(E3="闪蒸","",E69)</f>
        <v>62.9379605683198</v>
      </c>
    </row>
    <row r="3" ht="20.1" customHeight="1" spans="1:6">
      <c r="A3" s="17"/>
      <c r="B3" s="17" t="s">
        <v>66</v>
      </c>
      <c r="C3" s="17"/>
      <c r="D3" s="18"/>
      <c r="E3" s="19" t="str">
        <f>IF(E28&lt;=E37,"无气蚀",IF(AND(E37&lt;E28,E28&lt;=E29),"初始气蚀",IF(AND(E28&gt;E29,E28&lt;=1),"空化",IF(E28&gt;1,"闪蒸"))))</f>
        <v>空化</v>
      </c>
    </row>
    <row r="4" ht="20.1" customHeight="1" spans="1:6">
      <c r="A4" s="17" t="s">
        <v>598</v>
      </c>
      <c r="B4" s="17"/>
      <c r="C4" s="17"/>
      <c r="D4" s="17"/>
      <c r="E4" s="17"/>
    </row>
    <row r="5" ht="20.1" customHeight="1" spans="1:6">
      <c r="A5" s="17"/>
      <c r="B5" s="17"/>
      <c r="C5" s="17"/>
      <c r="D5" s="15" t="s">
        <v>460</v>
      </c>
      <c r="E5" s="20" t="s">
        <v>244</v>
      </c>
    </row>
    <row r="6" ht="20.1" customHeight="1" spans="1:6">
      <c r="A6" s="15" t="s">
        <v>91</v>
      </c>
      <c r="B6" s="21" t="s">
        <v>599</v>
      </c>
      <c r="C6" s="15"/>
      <c r="D6" s="15" t="s">
        <v>9</v>
      </c>
      <c r="E6" s="22">
        <f>Kv计算!D52</f>
        <v>24.1682408468747</v>
      </c>
    </row>
    <row r="7" ht="20.1" customHeight="1" spans="1:6">
      <c r="A7" s="15" t="s">
        <v>81</v>
      </c>
      <c r="B7" s="21" t="s">
        <v>427</v>
      </c>
      <c r="C7" s="15" t="s">
        <v>600</v>
      </c>
      <c r="D7" s="15" t="s">
        <v>9</v>
      </c>
      <c r="E7" s="22">
        <f>Kv计算!D182/3600</f>
        <v>27.4444444444444</v>
      </c>
    </row>
    <row r="8" ht="20.1" customHeight="1" spans="1:6">
      <c r="A8" s="15" t="s">
        <v>13</v>
      </c>
      <c r="B8" s="21" t="s">
        <v>601</v>
      </c>
      <c r="C8" s="15" t="s">
        <v>436</v>
      </c>
      <c r="D8" s="15" t="s">
        <v>9</v>
      </c>
      <c r="E8" s="22">
        <f>Kv计算!D200*1000</f>
        <v>2100000</v>
      </c>
    </row>
    <row r="9" ht="20.1" customHeight="1" spans="1:6">
      <c r="A9" s="15" t="s">
        <v>16</v>
      </c>
      <c r="B9" s="21" t="s">
        <v>602</v>
      </c>
      <c r="C9" s="15" t="s">
        <v>436</v>
      </c>
      <c r="D9" s="15" t="s">
        <v>9</v>
      </c>
      <c r="E9" s="22">
        <f>Kv计算!D201*1000</f>
        <v>200000</v>
      </c>
    </row>
    <row r="10" ht="20.1" customHeight="1" spans="1:6">
      <c r="A10" s="15" t="s">
        <v>83</v>
      </c>
      <c r="B10" s="21" t="s">
        <v>603</v>
      </c>
      <c r="C10" s="15" t="s">
        <v>81</v>
      </c>
      <c r="D10" s="15" t="s">
        <v>9</v>
      </c>
      <c r="E10" s="22">
        <f>Kv计算!D40/1000</f>
        <v>0.15</v>
      </c>
    </row>
    <row r="11" ht="20.1" customHeight="1" spans="1:6">
      <c r="A11" s="15" t="s">
        <v>476</v>
      </c>
      <c r="B11" s="21" t="s">
        <v>604</v>
      </c>
      <c r="C11" s="15" t="s">
        <v>81</v>
      </c>
      <c r="D11" s="15" t="s">
        <v>9</v>
      </c>
      <c r="E11" s="22">
        <f>Kv计算!D118/1000</f>
        <v>0.15</v>
      </c>
    </row>
    <row r="12" ht="20.1" customHeight="1" spans="1:6">
      <c r="A12" s="15" t="s">
        <v>115</v>
      </c>
      <c r="B12" s="21" t="s">
        <v>605</v>
      </c>
      <c r="C12" s="15" t="s">
        <v>81</v>
      </c>
      <c r="D12" s="15" t="s">
        <v>9</v>
      </c>
      <c r="E12" s="23">
        <v>0.003</v>
      </c>
      <c r="F12" s="13" t="s">
        <v>606</v>
      </c>
    </row>
    <row r="13" ht="20.1" customHeight="1" spans="1:6">
      <c r="A13" s="15" t="s">
        <v>434</v>
      </c>
      <c r="B13" s="21" t="s">
        <v>607</v>
      </c>
      <c r="C13" s="15" t="s">
        <v>608</v>
      </c>
      <c r="D13" s="15" t="s">
        <v>9</v>
      </c>
      <c r="E13" s="23">
        <v>120</v>
      </c>
    </row>
    <row r="14" ht="20.1" customHeight="1" spans="1:6">
      <c r="A14" s="15" t="s">
        <v>68</v>
      </c>
      <c r="B14" s="21" t="s">
        <v>250</v>
      </c>
      <c r="C14" s="15"/>
      <c r="D14" s="15" t="s">
        <v>9</v>
      </c>
      <c r="E14" s="22">
        <v>0.9</v>
      </c>
    </row>
    <row r="15" ht="20.1" customHeight="1" spans="1:6">
      <c r="A15" s="15" t="s">
        <v>108</v>
      </c>
      <c r="B15" s="21" t="s">
        <v>609</v>
      </c>
      <c r="C15" s="15"/>
      <c r="D15" s="15" t="s">
        <v>9</v>
      </c>
      <c r="E15" s="22">
        <f>Kv计算!D132</f>
        <v>0.42</v>
      </c>
      <c r="F15" s="13" t="s">
        <v>610</v>
      </c>
    </row>
    <row r="16" ht="20.1" customHeight="1" spans="1:6">
      <c r="A16" s="17" t="s">
        <v>611</v>
      </c>
      <c r="B16" s="17"/>
      <c r="C16" s="17"/>
      <c r="D16" s="17"/>
      <c r="E16" s="17"/>
    </row>
    <row r="17" ht="20.1" customHeight="1" spans="1:6">
      <c r="A17" s="15" t="s">
        <v>414</v>
      </c>
      <c r="B17" s="21" t="s">
        <v>97</v>
      </c>
      <c r="C17" s="15" t="s">
        <v>81</v>
      </c>
      <c r="D17" s="15" t="s">
        <v>9</v>
      </c>
      <c r="E17" s="22">
        <f>Kv计算!D128/1000</f>
        <v>0.1683</v>
      </c>
    </row>
    <row r="18" ht="20.1" customHeight="1" spans="1:6">
      <c r="A18" s="15" t="s">
        <v>451</v>
      </c>
      <c r="B18" s="21" t="s">
        <v>612</v>
      </c>
      <c r="C18" s="15" t="s">
        <v>81</v>
      </c>
      <c r="D18" s="15" t="s">
        <v>9</v>
      </c>
      <c r="E18" s="22">
        <f>Kv计算!D130/1000</f>
        <v>0.00711</v>
      </c>
    </row>
    <row r="19" ht="20.1" customHeight="1" spans="1:6">
      <c r="A19" s="15" t="s">
        <v>613</v>
      </c>
      <c r="B19" s="21" t="s">
        <v>614</v>
      </c>
      <c r="C19" s="15" t="s">
        <v>615</v>
      </c>
      <c r="D19" s="15" t="s">
        <v>9</v>
      </c>
      <c r="E19" s="22">
        <v>7800</v>
      </c>
    </row>
    <row r="20" ht="20.1" customHeight="1" spans="1:6">
      <c r="A20" s="15" t="s">
        <v>616</v>
      </c>
      <c r="B20" s="21" t="s">
        <v>617</v>
      </c>
      <c r="C20" s="15" t="s">
        <v>62</v>
      </c>
      <c r="D20" s="15" t="s">
        <v>9</v>
      </c>
      <c r="E20" s="22">
        <v>5000</v>
      </c>
    </row>
    <row r="21" ht="20.1" customHeight="1" spans="1:6">
      <c r="A21" s="17" t="s">
        <v>618</v>
      </c>
      <c r="B21" s="17"/>
      <c r="C21" s="17"/>
      <c r="D21" s="17"/>
      <c r="E21" s="17"/>
    </row>
    <row r="22" ht="20.1" customHeight="1" spans="1:6">
      <c r="A22" s="15" t="s">
        <v>619</v>
      </c>
      <c r="B22" s="21" t="s">
        <v>620</v>
      </c>
      <c r="C22" s="15" t="s">
        <v>615</v>
      </c>
      <c r="D22" s="15" t="s">
        <v>9</v>
      </c>
      <c r="E22" s="22">
        <f>Kv计算!D192</f>
        <v>988</v>
      </c>
    </row>
    <row r="23" ht="20.1" customHeight="1" spans="1:6">
      <c r="A23" s="15" t="s">
        <v>36</v>
      </c>
      <c r="B23" s="21" t="s">
        <v>621</v>
      </c>
      <c r="C23" s="15" t="s">
        <v>436</v>
      </c>
      <c r="D23" s="15" t="s">
        <v>9</v>
      </c>
      <c r="E23" s="22">
        <f>Kv计算!D209*1000</f>
        <v>12327.6952603035</v>
      </c>
    </row>
    <row r="24" ht="20.1" customHeight="1" spans="1:6">
      <c r="A24" s="15" t="s">
        <v>622</v>
      </c>
      <c r="B24" s="21" t="s">
        <v>623</v>
      </c>
      <c r="C24" s="15" t="s">
        <v>62</v>
      </c>
      <c r="D24" s="15" t="s">
        <v>9</v>
      </c>
      <c r="E24" s="22">
        <v>1400</v>
      </c>
    </row>
    <row r="25" ht="20.1" customHeight="1" spans="1:6">
      <c r="A25" s="15" t="s">
        <v>624</v>
      </c>
      <c r="B25" s="21" t="s">
        <v>625</v>
      </c>
      <c r="C25" s="15" t="s">
        <v>615</v>
      </c>
      <c r="D25" s="15" t="s">
        <v>9</v>
      </c>
      <c r="E25" s="22">
        <v>1.293</v>
      </c>
    </row>
    <row r="26" ht="20.1" customHeight="1" spans="1:6">
      <c r="A26" s="15" t="s">
        <v>626</v>
      </c>
      <c r="B26" s="21" t="s">
        <v>627</v>
      </c>
      <c r="C26" s="15" t="s">
        <v>62</v>
      </c>
      <c r="D26" s="15" t="s">
        <v>9</v>
      </c>
      <c r="E26" s="22">
        <v>343</v>
      </c>
    </row>
    <row r="27" ht="20.1" customHeight="1" spans="1:6">
      <c r="A27" s="17" t="s">
        <v>628</v>
      </c>
      <c r="B27" s="17"/>
      <c r="C27" s="17"/>
      <c r="D27" s="17"/>
      <c r="E27" s="17"/>
    </row>
    <row r="28" ht="33.95" customHeight="1" spans="1:6">
      <c r="A28" s="24" t="s">
        <v>629</v>
      </c>
      <c r="B28" s="25" t="s">
        <v>630</v>
      </c>
      <c r="C28" s="15"/>
      <c r="D28" s="26"/>
      <c r="E28" s="27">
        <f>(E8-E9)/(E8-E23)</f>
        <v>0.910104519606061</v>
      </c>
    </row>
    <row r="29" ht="23.1" customHeight="1" spans="1:6">
      <c r="A29" s="28" t="s">
        <v>631</v>
      </c>
      <c r="B29" s="29"/>
      <c r="C29" s="28"/>
      <c r="D29" s="24" t="s">
        <v>632</v>
      </c>
      <c r="E29" s="19">
        <f>E14^2</f>
        <v>0.81</v>
      </c>
    </row>
    <row r="30" ht="23.1" customHeight="1" spans="1:6">
      <c r="A30" s="30" t="s">
        <v>633</v>
      </c>
      <c r="B30" s="31" t="s">
        <v>634</v>
      </c>
      <c r="C30" s="32" t="s">
        <v>436</v>
      </c>
      <c r="D30" s="15"/>
      <c r="E30" s="22">
        <f>E28*(E8-E23)</f>
        <v>1900000</v>
      </c>
    </row>
    <row r="31" ht="23.1" customHeight="1" spans="1:6">
      <c r="A31" s="33"/>
      <c r="B31" s="34"/>
      <c r="C31" s="35"/>
      <c r="D31" s="15"/>
      <c r="E31" s="22">
        <f>E14^2*(E8-E23)</f>
        <v>1691014.56683915</v>
      </c>
    </row>
    <row r="32" customFormat="1" ht="23.1" customHeight="1" spans="1:6">
      <c r="A32" s="36"/>
      <c r="B32" s="37"/>
      <c r="C32" s="38"/>
      <c r="D32" s="15" t="s">
        <v>635</v>
      </c>
      <c r="E32" s="22">
        <f>MIN(E30:E31)</f>
        <v>1691014.56683915</v>
      </c>
      <c r="F32" s="13"/>
    </row>
    <row r="33" ht="15.95" customHeight="1" spans="1:7">
      <c r="A33" s="15" t="s">
        <v>636</v>
      </c>
      <c r="B33" s="21"/>
      <c r="C33" s="15"/>
      <c r="D33" s="15" t="s">
        <v>9</v>
      </c>
      <c r="E33" s="22">
        <v>1</v>
      </c>
    </row>
    <row r="34" ht="15.95" customHeight="1" spans="1:7">
      <c r="A34" s="15" t="s">
        <v>431</v>
      </c>
      <c r="B34" s="21"/>
      <c r="C34" s="15"/>
      <c r="D34" s="15" t="s">
        <v>9</v>
      </c>
      <c r="E34" s="22">
        <v>0.0049</v>
      </c>
    </row>
    <row r="35" ht="54.95" customHeight="1" spans="1:7">
      <c r="A35" s="39" t="s">
        <v>637</v>
      </c>
      <c r="B35" s="40" t="s">
        <v>638</v>
      </c>
      <c r="C35" s="15"/>
      <c r="D35" s="15"/>
      <c r="E35" s="41">
        <f>0.9/SQRT(1+3*E15*SQRT(E6/(E33*E14)))</f>
        <v>0.3279917798602</v>
      </c>
    </row>
    <row r="36" ht="54.95" customHeight="1" spans="1:7">
      <c r="A36" s="42"/>
      <c r="B36" s="40" t="s">
        <v>639</v>
      </c>
      <c r="C36" s="15"/>
      <c r="D36" s="26"/>
      <c r="E36" s="41">
        <f>1/SQRT(4.5+1650*E13*E12^2/E14)</f>
        <v>0.392837100659193</v>
      </c>
    </row>
    <row r="37" ht="51" customHeight="1" spans="1:7">
      <c r="A37" s="42"/>
      <c r="B37" s="40"/>
      <c r="C37" s="43"/>
      <c r="D37" s="44" t="s">
        <v>640</v>
      </c>
      <c r="E37" s="41">
        <f>IF(E5="标准型",E35,IF(E5="多级降压",E36))</f>
        <v>0.3279917798602</v>
      </c>
      <c r="G37" s="11"/>
    </row>
    <row r="38" ht="42" customHeight="1" spans="1:7">
      <c r="A38" s="24" t="s">
        <v>641</v>
      </c>
      <c r="B38" s="25" t="s">
        <v>642</v>
      </c>
      <c r="C38" s="15"/>
      <c r="D38" s="26"/>
      <c r="E38" s="27">
        <f>E37*(6*10^5/E8)^0.125</f>
        <v>0.280449360477134</v>
      </c>
    </row>
    <row r="39" ht="27.95" customHeight="1" spans="1:7">
      <c r="A39" s="15" t="s">
        <v>478</v>
      </c>
      <c r="B39" s="21" t="s">
        <v>643</v>
      </c>
      <c r="C39" s="15" t="s">
        <v>81</v>
      </c>
      <c r="D39" s="45"/>
      <c r="E39" s="46">
        <f>E34*E15*(E6*E14)^0.5</f>
        <v>0.00959818563602331</v>
      </c>
    </row>
    <row r="40" ht="42.95" customHeight="1" spans="1:7">
      <c r="A40" s="15" t="s">
        <v>485</v>
      </c>
      <c r="B40" s="21" t="s">
        <v>644</v>
      </c>
      <c r="C40" s="15" t="s">
        <v>62</v>
      </c>
      <c r="D40" s="47"/>
      <c r="E40" s="48">
        <f>1/E14*((2*E32)/E22)^0.5</f>
        <v>65.0081325454279</v>
      </c>
    </row>
    <row r="41" ht="39.95" customHeight="1" spans="1:7">
      <c r="A41" s="15" t="s">
        <v>487</v>
      </c>
      <c r="B41" s="21" t="s">
        <v>645</v>
      </c>
      <c r="C41" s="15" t="s">
        <v>154</v>
      </c>
      <c r="D41" s="49"/>
      <c r="E41" s="16">
        <f>E7*E40^2*E14^2/2</f>
        <v>46972.6268566432</v>
      </c>
    </row>
    <row r="42" ht="21.95" customHeight="1" spans="1:7">
      <c r="A42" s="15"/>
      <c r="B42" s="21" t="s">
        <v>646</v>
      </c>
      <c r="C42" s="15"/>
      <c r="D42" s="43" t="s">
        <v>647</v>
      </c>
      <c r="E42" s="50" t="str">
        <f>IF(AND(E38&lt;E28,E28&lt;=1),"空化","紊流")</f>
        <v>空化</v>
      </c>
    </row>
    <row r="43" ht="32.1" customHeight="1" spans="1:7">
      <c r="A43" s="15" t="s">
        <v>648</v>
      </c>
      <c r="B43" s="21" t="s">
        <v>649</v>
      </c>
      <c r="C43" s="15"/>
      <c r="D43" s="43" t="s">
        <v>650</v>
      </c>
      <c r="E43" s="50">
        <v>-4.6</v>
      </c>
    </row>
    <row r="44" ht="45" customHeight="1" spans="1:7">
      <c r="A44" s="15" t="s">
        <v>651</v>
      </c>
      <c r="B44" s="21" t="s">
        <v>652</v>
      </c>
      <c r="C44" s="15"/>
      <c r="D44" s="15"/>
      <c r="E44" s="22">
        <f>10^E43*(E40/E24)</f>
        <v>1.16637890056169e-6</v>
      </c>
    </row>
    <row r="45" ht="86.1" customHeight="1" spans="1:7">
      <c r="A45" s="15" t="s">
        <v>653</v>
      </c>
      <c r="B45" s="21" t="s">
        <v>654</v>
      </c>
      <c r="C45" s="15"/>
      <c r="D45" s="15"/>
      <c r="E45" s="22">
        <f>IF(E42="空化",0.32*E44*SQRT((E8-E9)/E32)*EXP(5*E38)*((1-E38)/(1-E28))^0.5*(E28/E38)^5*(E28-E38)^1.5,"")</f>
        <v>0.000818051782655931</v>
      </c>
    </row>
    <row r="46" ht="20.1" customHeight="1" spans="1:7">
      <c r="A46" s="15" t="s">
        <v>480</v>
      </c>
      <c r="B46" s="21" t="s">
        <v>655</v>
      </c>
      <c r="C46" s="15"/>
      <c r="D46" s="15" t="s">
        <v>9</v>
      </c>
      <c r="E46" s="22">
        <v>0.25</v>
      </c>
    </row>
    <row r="47" ht="24" customHeight="1" spans="1:7">
      <c r="A47" s="15" t="s">
        <v>497</v>
      </c>
      <c r="B47" s="21" t="s">
        <v>656</v>
      </c>
      <c r="C47" s="15" t="s">
        <v>154</v>
      </c>
      <c r="D47" s="45"/>
      <c r="E47" s="46" t="str">
        <f>IF(E42="紊流",E44*E41,"")</f>
        <v/>
      </c>
    </row>
    <row r="48" ht="23.1" customHeight="1" spans="1:7">
      <c r="A48" s="15"/>
      <c r="B48" s="21" t="s">
        <v>657</v>
      </c>
      <c r="C48" s="15" t="s">
        <v>154</v>
      </c>
      <c r="D48" s="15"/>
      <c r="E48" s="46">
        <f>IF(E42="空化",(E44+E45)*E41*E46,"")</f>
        <v>9.62020725424459</v>
      </c>
    </row>
    <row r="49" ht="24" customHeight="1" spans="1:8">
      <c r="A49" s="15"/>
      <c r="B49" s="21"/>
      <c r="C49" s="15"/>
      <c r="D49" s="47" t="s">
        <v>658</v>
      </c>
      <c r="E49" s="46">
        <f>IF(E42="紊流",E47,E48)</f>
        <v>9.62020725424459</v>
      </c>
    </row>
    <row r="50" ht="45.95" customHeight="1" spans="1:8">
      <c r="A50" s="15" t="s">
        <v>535</v>
      </c>
      <c r="B50" s="21" t="s">
        <v>659</v>
      </c>
      <c r="C50" s="15" t="s">
        <v>63</v>
      </c>
      <c r="D50" s="47"/>
      <c r="E50" s="48">
        <f>10*LOG10(3.2*10^9*E49*E22*E24/E17^2)</f>
        <v>181.77051155055</v>
      </c>
    </row>
    <row r="51" ht="48" customHeight="1" spans="1:8">
      <c r="A51" s="15" t="s">
        <v>660</v>
      </c>
      <c r="B51" s="21" t="s">
        <v>661</v>
      </c>
      <c r="C51" s="15"/>
      <c r="D51" s="47"/>
      <c r="E51" s="48">
        <f>0.036*E14^2*E6*E15^0.75/(E33*E38^1.5*E10*E11)*(1/(E8-E23))^0.57</f>
        <v>0.0274977906066482</v>
      </c>
    </row>
    <row r="52" ht="44.1" customHeight="1" spans="1:8">
      <c r="A52" s="15" t="s">
        <v>662</v>
      </c>
      <c r="B52" s="21" t="s">
        <v>663</v>
      </c>
      <c r="C52" s="15" t="s">
        <v>503</v>
      </c>
      <c r="D52" s="49"/>
      <c r="E52" s="16">
        <f>E51*E40/E39</f>
        <v>186.241450650253</v>
      </c>
    </row>
    <row r="53" ht="48.95" customHeight="1" spans="1:8">
      <c r="A53" s="15" t="s">
        <v>664</v>
      </c>
      <c r="B53" s="21" t="s">
        <v>665</v>
      </c>
      <c r="C53" s="15" t="s">
        <v>503</v>
      </c>
      <c r="D53" s="49"/>
      <c r="E53" s="16">
        <f>IF(E42="空化",6*E52*((1-E28)/(1-E38))^2*(E38/E28)^2.5,"")</f>
        <v>0.919366217884422</v>
      </c>
    </row>
    <row r="54" ht="38.1" customHeight="1" spans="1:8">
      <c r="A54" s="15" t="s">
        <v>539</v>
      </c>
      <c r="B54" s="21" t="s">
        <v>540</v>
      </c>
      <c r="C54" s="15" t="s">
        <v>503</v>
      </c>
      <c r="D54" s="15"/>
      <c r="E54" s="22">
        <f>E20/(PI()*E17)</f>
        <v>9456.62169292307</v>
      </c>
    </row>
    <row r="55" ht="44.1" customHeight="1" spans="1:8">
      <c r="A55" s="15" t="s">
        <v>666</v>
      </c>
      <c r="B55" s="21" t="s">
        <v>667</v>
      </c>
      <c r="C55" s="15" t="s">
        <v>63</v>
      </c>
      <c r="D55" s="49"/>
      <c r="E55" s="16">
        <f>-10-10*LOG10(E20*E19*E18/(E26*E25*E17))</f>
        <v>-45.6995744685728</v>
      </c>
    </row>
    <row r="56" ht="50.1" customHeight="1" spans="1:8">
      <c r="A56" s="15" t="s">
        <v>668</v>
      </c>
      <c r="B56" s="21" t="s">
        <v>669</v>
      </c>
      <c r="C56" s="15" t="s">
        <v>63</v>
      </c>
      <c r="D56" s="49"/>
      <c r="E56" s="16">
        <f>-20*LOG10(E54/E52+(E52/E54)^1.5)</f>
        <v>-34.1136661722441</v>
      </c>
    </row>
    <row r="57" ht="29.1" customHeight="1" spans="1:8">
      <c r="A57" s="15" t="s">
        <v>670</v>
      </c>
      <c r="B57" s="21" t="s">
        <v>671</v>
      </c>
      <c r="C57" s="15" t="s">
        <v>63</v>
      </c>
      <c r="D57" s="49"/>
      <c r="E57" s="16">
        <f>E56+E55</f>
        <v>-79.8132406408169</v>
      </c>
    </row>
    <row r="58" ht="50.1" customHeight="1" spans="1:8">
      <c r="A58" s="15" t="s">
        <v>672</v>
      </c>
      <c r="B58" s="21" t="s">
        <v>673</v>
      </c>
      <c r="C58" s="15" t="s">
        <v>65</v>
      </c>
      <c r="D58" s="49"/>
      <c r="E58" s="16" t="str">
        <f>IF(E42="紊流",E50+E57-10*LOG10((E17+2*E18+2)/(E17+2*E18)),"")</f>
        <v/>
      </c>
    </row>
    <row r="59" ht="62" customHeight="1" spans="1:8">
      <c r="A59" s="15" t="s">
        <v>674</v>
      </c>
      <c r="B59" s="21" t="s">
        <v>675</v>
      </c>
      <c r="C59" s="15" t="s">
        <v>63</v>
      </c>
      <c r="D59" s="49"/>
      <c r="E59" s="16">
        <f>IF(E42="空化",E57+10*LOG10(250*(E53^1.5/E52^2)*(E45/(E44+E45))),"")</f>
        <v>-101.789227109616</v>
      </c>
      <c r="H59" s="51"/>
    </row>
    <row r="60" ht="41" customHeight="1" spans="1:8">
      <c r="A60" s="15" t="s">
        <v>555</v>
      </c>
      <c r="B60" s="21" t="s">
        <v>676</v>
      </c>
      <c r="C60" s="15" t="s">
        <v>65</v>
      </c>
      <c r="D60" s="49"/>
      <c r="E60" s="52">
        <f>IF(E42="空化",E50+E59-10*LOG10((E17+2*E18+2)/(E17+2*E18)),"")</f>
        <v>69.204806720456</v>
      </c>
    </row>
    <row r="61" ht="20.1" customHeight="1" spans="1:8">
      <c r="A61" s="15" t="s">
        <v>677</v>
      </c>
      <c r="B61" s="21"/>
      <c r="C61" s="15" t="s">
        <v>503</v>
      </c>
      <c r="D61" s="15"/>
      <c r="E61" s="15">
        <v>8000</v>
      </c>
      <c r="F61" s="13" t="s">
        <v>678</v>
      </c>
    </row>
    <row r="62" ht="57" customHeight="1" spans="1:8">
      <c r="A62" s="15" t="s">
        <v>679</v>
      </c>
      <c r="B62" s="21" t="s">
        <v>680</v>
      </c>
      <c r="C62" s="15" t="s">
        <v>63</v>
      </c>
      <c r="D62" s="49"/>
      <c r="E62" s="16">
        <f>-10*LOG10(0.25*(E61/E52)^3+(E61/E52)^-1)-3.1</f>
        <v>-46.0698144268831</v>
      </c>
    </row>
    <row r="63" ht="50.1" customHeight="1" spans="1:8">
      <c r="A63" s="15" t="s">
        <v>681</v>
      </c>
      <c r="B63" s="21" t="s">
        <v>682</v>
      </c>
      <c r="C63" s="15" t="s">
        <v>63</v>
      </c>
      <c r="D63" s="49"/>
      <c r="E63" s="16">
        <f>IF(E42="空化",-10*LOG10(0.25*(E61/E53)^1.5+(E61/E53)^-1.5)-3.5,"")</f>
        <v>-56.5734217683025</v>
      </c>
    </row>
    <row r="64" ht="27.95" customHeight="1" spans="1:8">
      <c r="A64" s="15" t="s">
        <v>683</v>
      </c>
      <c r="B64" s="21" t="s">
        <v>684</v>
      </c>
      <c r="C64" s="15" t="s">
        <v>63</v>
      </c>
      <c r="D64" s="49"/>
      <c r="E64" s="16">
        <f>E50+E62</f>
        <v>135.700697123667</v>
      </c>
    </row>
    <row r="65" ht="51" customHeight="1" spans="1:6">
      <c r="A65" s="15"/>
      <c r="B65" s="21" t="s">
        <v>685</v>
      </c>
      <c r="C65" s="15" t="s">
        <v>63</v>
      </c>
      <c r="D65" s="49"/>
      <c r="E65" s="16">
        <f>IF(E42="空化",E50+10*LOG10((E44/(E44+E45))*10^(0.1*E62)+(E45/(E44+E45))*10^(0.1*E63)),"")</f>
        <v>125.259886296507</v>
      </c>
    </row>
    <row r="66" customFormat="1" ht="57.95" customHeight="1" spans="1:6">
      <c r="A66" s="15"/>
      <c r="B66" s="21"/>
      <c r="C66" s="15"/>
      <c r="D66" s="15" t="s">
        <v>686</v>
      </c>
      <c r="E66" s="48">
        <f>IF(E42="紊流",E64,E65)</f>
        <v>125.259886296507</v>
      </c>
      <c r="F66" s="13"/>
    </row>
    <row r="67" ht="57.95" customHeight="1" spans="1:6">
      <c r="A67" s="15" t="s">
        <v>687</v>
      </c>
      <c r="B67" s="21" t="s">
        <v>688</v>
      </c>
      <c r="C67" s="15" t="s">
        <v>63</v>
      </c>
      <c r="D67" s="47"/>
      <c r="E67" s="48">
        <f>-20*LOG10(E54/E61+(E61/E54)^1.5)</f>
        <v>-5.84587353913624</v>
      </c>
    </row>
    <row r="68" ht="26.1" customHeight="1" spans="1:6">
      <c r="A68" s="15" t="s">
        <v>689</v>
      </c>
      <c r="B68" s="21" t="s">
        <v>690</v>
      </c>
      <c r="C68" s="15" t="s">
        <v>63</v>
      </c>
      <c r="D68" s="49"/>
      <c r="E68" s="16">
        <f>E55+E67</f>
        <v>-51.545448007709</v>
      </c>
    </row>
    <row r="69" ht="48" customHeight="1" spans="1:6">
      <c r="A69" s="43" t="s">
        <v>691</v>
      </c>
      <c r="B69" s="53" t="s">
        <v>692</v>
      </c>
      <c r="C69" s="43" t="s">
        <v>63</v>
      </c>
      <c r="D69" s="54"/>
      <c r="E69" s="55">
        <f>E66+E68-10*LOG10((E17+2*E18+2)/(E17+2*E18))</f>
        <v>62.9379605683198</v>
      </c>
    </row>
  </sheetData>
  <mergeCells count="11">
    <mergeCell ref="A4:E4"/>
    <mergeCell ref="A16:E16"/>
    <mergeCell ref="A21:E21"/>
    <mergeCell ref="A27:E27"/>
    <mergeCell ref="A30:A32"/>
    <mergeCell ref="A35:A37"/>
    <mergeCell ref="A47:A49"/>
    <mergeCell ref="A64:A66"/>
    <mergeCell ref="B30:B32"/>
    <mergeCell ref="C30:C32"/>
    <mergeCell ref="F12:F13"/>
  </mergeCells>
  <dataValidations count="1">
    <dataValidation type="list" allowBlank="1" showInputMessage="1" showErrorMessage="1" sqref="E5">
      <formula1>"标准型,多级降压"</formula1>
    </dataValidation>
  </dataValidations>
  <pageMargins left="0.75" right="0.75" top="1" bottom="1" header="0.5" footer="0.5"/>
  <pageSetup paperSize="9" orientation="portrait"/>
  <headerFooter/>
  <drawing r:id="rId2"/>
  <legacyDrawing r:id="rId3"/>
  <oleObjects>
    <mc:AlternateContent xmlns:mc="http://schemas.openxmlformats.org/markup-compatibility/2006">
      <mc:Choice Requires="x14">
        <oleObject shapeId="114689" progId="Equation.KSEE3" r:id="rId4">
          <objectPr defaultSize="0" r:id="rId5">
            <anchor moveWithCells="1">
              <from>
                <xdr:col>3</xdr:col>
                <xdr:colOff>1562100</xdr:colOff>
                <xdr:row>27</xdr:row>
                <xdr:rowOff>38100</xdr:rowOff>
              </from>
              <to>
                <xdr:col>3</xdr:col>
                <xdr:colOff>2295525</xdr:colOff>
                <xdr:row>27</xdr:row>
                <xdr:rowOff>390525</xdr:rowOff>
              </to>
            </anchor>
          </objectPr>
        </oleObject>
      </mc:Choice>
      <mc:Fallback>
        <oleObject shapeId="114689" progId="Equation.KSEE3" r:id="rId4"/>
      </mc:Fallback>
    </mc:AlternateContent>
    <mc:AlternateContent xmlns:mc="http://schemas.openxmlformats.org/markup-compatibility/2006">
      <mc:Choice Requires="x14">
        <oleObject shapeId="114690" progId="Equation.KSEE3" r:id="rId6">
          <objectPr defaultSize="0" r:id="rId7">
            <anchor moveWithCells="1">
              <from>
                <xdr:col>3</xdr:col>
                <xdr:colOff>1552575</xdr:colOff>
                <xdr:row>30</xdr:row>
                <xdr:rowOff>19050</xdr:rowOff>
              </from>
              <to>
                <xdr:col>3</xdr:col>
                <xdr:colOff>2276475</xdr:colOff>
                <xdr:row>30</xdr:row>
                <xdr:rowOff>257175</xdr:rowOff>
              </to>
            </anchor>
          </objectPr>
        </oleObject>
      </mc:Choice>
      <mc:Fallback>
        <oleObject shapeId="114690" progId="Equation.KSEE3" r:id="rId6"/>
      </mc:Fallback>
    </mc:AlternateContent>
    <mc:AlternateContent xmlns:mc="http://schemas.openxmlformats.org/markup-compatibility/2006">
      <mc:Choice Requires="x14">
        <oleObject shapeId="114691" progId="Equation.KSEE3" r:id="rId8">
          <objectPr defaultSize="0" r:id="rId9">
            <anchor moveWithCells="1">
              <from>
                <xdr:col>3</xdr:col>
                <xdr:colOff>1552575</xdr:colOff>
                <xdr:row>29</xdr:row>
                <xdr:rowOff>19050</xdr:rowOff>
              </from>
              <to>
                <xdr:col>3</xdr:col>
                <xdr:colOff>2305050</xdr:colOff>
                <xdr:row>29</xdr:row>
                <xdr:rowOff>247650</xdr:rowOff>
              </to>
            </anchor>
          </objectPr>
        </oleObject>
      </mc:Choice>
      <mc:Fallback>
        <oleObject shapeId="114691" progId="Equation.KSEE3" r:id="rId8"/>
      </mc:Fallback>
    </mc:AlternateContent>
    <mc:AlternateContent xmlns:mc="http://schemas.openxmlformats.org/markup-compatibility/2006">
      <mc:Choice Requires="x14">
        <oleObject shapeId="114692" progId="Equation.KSEE3" r:id="rId10">
          <objectPr defaultSize="0" r:id="rId11">
            <anchor moveWithCells="1">
              <from>
                <xdr:col>3</xdr:col>
                <xdr:colOff>1228725</xdr:colOff>
                <xdr:row>34</xdr:row>
                <xdr:rowOff>57150</xdr:rowOff>
              </from>
              <to>
                <xdr:col>3</xdr:col>
                <xdr:colOff>2476500</xdr:colOff>
                <xdr:row>34</xdr:row>
                <xdr:rowOff>628650</xdr:rowOff>
              </to>
            </anchor>
          </objectPr>
        </oleObject>
      </mc:Choice>
      <mc:Fallback>
        <oleObject shapeId="114692" progId="Equation.KSEE3" r:id="rId10"/>
      </mc:Fallback>
    </mc:AlternateContent>
    <mc:AlternateContent xmlns:mc="http://schemas.openxmlformats.org/markup-compatibility/2006">
      <mc:Choice Requires="x14">
        <oleObject shapeId="114693" progId="Equation.KSEE3" r:id="rId12">
          <objectPr defaultSize="0" r:id="rId13">
            <anchor moveWithCells="1">
              <from>
                <xdr:col>3</xdr:col>
                <xdr:colOff>1266825</xdr:colOff>
                <xdr:row>37</xdr:row>
                <xdr:rowOff>85725</xdr:rowOff>
              </from>
              <to>
                <xdr:col>3</xdr:col>
                <xdr:colOff>2524125</xdr:colOff>
                <xdr:row>37</xdr:row>
                <xdr:rowOff>504825</xdr:rowOff>
              </to>
            </anchor>
          </objectPr>
        </oleObject>
      </mc:Choice>
      <mc:Fallback>
        <oleObject shapeId="114693" progId="Equation.KSEE3" r:id="rId12"/>
      </mc:Fallback>
    </mc:AlternateContent>
    <mc:AlternateContent xmlns:mc="http://schemas.openxmlformats.org/markup-compatibility/2006">
      <mc:Choice Requires="x14">
        <oleObject shapeId="114694" progId="Equation.KSEE3" r:id="rId14">
          <objectPr defaultSize="0" r:id="rId15">
            <anchor moveWithCells="1">
              <from>
                <xdr:col>3</xdr:col>
                <xdr:colOff>1285875</xdr:colOff>
                <xdr:row>38</xdr:row>
                <xdr:rowOff>47625</xdr:rowOff>
              </from>
              <to>
                <xdr:col>3</xdr:col>
                <xdr:colOff>2409825</xdr:colOff>
                <xdr:row>38</xdr:row>
                <xdr:rowOff>314325</xdr:rowOff>
              </to>
            </anchor>
          </objectPr>
        </oleObject>
      </mc:Choice>
      <mc:Fallback>
        <oleObject shapeId="114694" progId="Equation.KSEE3" r:id="rId14"/>
      </mc:Fallback>
    </mc:AlternateContent>
    <mc:AlternateContent xmlns:mc="http://schemas.openxmlformats.org/markup-compatibility/2006">
      <mc:Choice Requires="x14">
        <oleObject shapeId="114695" progId="Equation.KSEE3" r:id="rId16">
          <objectPr defaultSize="0" r:id="rId17">
            <anchor moveWithCells="1">
              <from>
                <xdr:col>3</xdr:col>
                <xdr:colOff>1295400</xdr:colOff>
                <xdr:row>39</xdr:row>
                <xdr:rowOff>47625</xdr:rowOff>
              </from>
              <to>
                <xdr:col>3</xdr:col>
                <xdr:colOff>2409825</xdr:colOff>
                <xdr:row>39</xdr:row>
                <xdr:rowOff>533400</xdr:rowOff>
              </to>
            </anchor>
          </objectPr>
        </oleObject>
      </mc:Choice>
      <mc:Fallback>
        <oleObject shapeId="114695" progId="Equation.KSEE3" r:id="rId16"/>
      </mc:Fallback>
    </mc:AlternateContent>
    <mc:AlternateContent xmlns:mc="http://schemas.openxmlformats.org/markup-compatibility/2006">
      <mc:Choice Requires="x14">
        <oleObject shapeId="114696" progId="Equation.KSEE3" r:id="rId18">
          <objectPr defaultSize="0" r:id="rId19">
            <anchor moveWithCells="1">
              <from>
                <xdr:col>3</xdr:col>
                <xdr:colOff>1323975</xdr:colOff>
                <xdr:row>40</xdr:row>
                <xdr:rowOff>47625</xdr:rowOff>
              </from>
              <to>
                <xdr:col>3</xdr:col>
                <xdr:colOff>2314575</xdr:colOff>
                <xdr:row>40</xdr:row>
                <xdr:rowOff>466725</xdr:rowOff>
              </to>
            </anchor>
          </objectPr>
        </oleObject>
      </mc:Choice>
      <mc:Fallback>
        <oleObject shapeId="114696" progId="Equation.KSEE3" r:id="rId18"/>
      </mc:Fallback>
    </mc:AlternateContent>
    <mc:AlternateContent xmlns:mc="http://schemas.openxmlformats.org/markup-compatibility/2006">
      <mc:Choice Requires="x14">
        <oleObject shapeId="114697" progId="Equation.KSEE3" r:id="rId20">
          <objectPr defaultSize="0" r:id="rId21">
            <anchor moveWithCells="1">
              <from>
                <xdr:col>3</xdr:col>
                <xdr:colOff>1362075</xdr:colOff>
                <xdr:row>43</xdr:row>
                <xdr:rowOff>47625</xdr:rowOff>
              </from>
              <to>
                <xdr:col>3</xdr:col>
                <xdr:colOff>2486025</xdr:colOff>
                <xdr:row>43</xdr:row>
                <xdr:rowOff>533400</xdr:rowOff>
              </to>
            </anchor>
          </objectPr>
        </oleObject>
      </mc:Choice>
      <mc:Fallback>
        <oleObject shapeId="114697" progId="Equation.KSEE3" r:id="rId20"/>
      </mc:Fallback>
    </mc:AlternateContent>
    <mc:AlternateContent xmlns:mc="http://schemas.openxmlformats.org/markup-compatibility/2006">
      <mc:Choice Requires="x14">
        <oleObject shapeId="114698" progId="Equation.KSEE3" r:id="rId22">
          <objectPr defaultSize="0" r:id="rId23">
            <anchor moveWithCells="1">
              <from>
                <xdr:col>3</xdr:col>
                <xdr:colOff>1314450</xdr:colOff>
                <xdr:row>46</xdr:row>
                <xdr:rowOff>38100</xdr:rowOff>
              </from>
              <to>
                <xdr:col>3</xdr:col>
                <xdr:colOff>2114550</xdr:colOff>
                <xdr:row>46</xdr:row>
                <xdr:rowOff>266700</xdr:rowOff>
              </to>
            </anchor>
          </objectPr>
        </oleObject>
      </mc:Choice>
      <mc:Fallback>
        <oleObject shapeId="114698" progId="Equation.KSEE3" r:id="rId22"/>
      </mc:Fallback>
    </mc:AlternateContent>
    <mc:AlternateContent xmlns:mc="http://schemas.openxmlformats.org/markup-compatibility/2006">
      <mc:Choice Requires="x14">
        <oleObject shapeId="114699" progId="Equation.KSEE3" r:id="rId24">
          <objectPr defaultSize="0" r:id="rId25">
            <anchor moveWithCells="1">
              <from>
                <xdr:col>3</xdr:col>
                <xdr:colOff>1114425</xdr:colOff>
                <xdr:row>47</xdr:row>
                <xdr:rowOff>28575</xdr:rowOff>
              </from>
              <to>
                <xdr:col>3</xdr:col>
                <xdr:colOff>2486025</xdr:colOff>
                <xdr:row>47</xdr:row>
                <xdr:rowOff>257175</xdr:rowOff>
              </to>
            </anchor>
          </objectPr>
        </oleObject>
      </mc:Choice>
      <mc:Fallback>
        <oleObject shapeId="114699" progId="Equation.KSEE3" r:id="rId24"/>
      </mc:Fallback>
    </mc:AlternateContent>
    <mc:AlternateContent xmlns:mc="http://schemas.openxmlformats.org/markup-compatibility/2006">
      <mc:Choice Requires="x14">
        <oleObject shapeId="114700" progId="Equation.KSEE3" r:id="rId26">
          <objectPr defaultSize="0" r:id="rId27">
            <anchor moveWithCells="1">
              <from>
                <xdr:col>3</xdr:col>
                <xdr:colOff>895350</xdr:colOff>
                <xdr:row>49</xdr:row>
                <xdr:rowOff>38100</xdr:rowOff>
              </from>
              <to>
                <xdr:col>3</xdr:col>
                <xdr:colOff>2714625</xdr:colOff>
                <xdr:row>49</xdr:row>
                <xdr:rowOff>523875</xdr:rowOff>
              </to>
            </anchor>
          </objectPr>
        </oleObject>
      </mc:Choice>
      <mc:Fallback>
        <oleObject shapeId="114700" progId="Equation.KSEE3" r:id="rId26"/>
      </mc:Fallback>
    </mc:AlternateContent>
    <mc:AlternateContent xmlns:mc="http://schemas.openxmlformats.org/markup-compatibility/2006">
      <mc:Choice Requires="x14">
        <oleObject shapeId="114701" progId="Equation.KSEE3" r:id="rId28">
          <objectPr defaultSize="0" r:id="rId29">
            <anchor moveWithCells="1">
              <from>
                <xdr:col>3</xdr:col>
                <xdr:colOff>1304925</xdr:colOff>
                <xdr:row>51</xdr:row>
                <xdr:rowOff>47625</xdr:rowOff>
              </from>
              <to>
                <xdr:col>3</xdr:col>
                <xdr:colOff>2409825</xdr:colOff>
                <xdr:row>51</xdr:row>
                <xdr:rowOff>485775</xdr:rowOff>
              </to>
            </anchor>
          </objectPr>
        </oleObject>
      </mc:Choice>
      <mc:Fallback>
        <oleObject shapeId="114701" progId="Equation.KSEE3" r:id="rId28"/>
      </mc:Fallback>
    </mc:AlternateContent>
    <mc:AlternateContent xmlns:mc="http://schemas.openxmlformats.org/markup-compatibility/2006">
      <mc:Choice Requires="x14">
        <oleObject shapeId="114702" progId="Equation.KSEE3" r:id="rId30">
          <objectPr defaultSize="0" r:id="rId31">
            <anchor moveWithCells="1">
              <from>
                <xdr:col>3</xdr:col>
                <xdr:colOff>628650</xdr:colOff>
                <xdr:row>52</xdr:row>
                <xdr:rowOff>66675</xdr:rowOff>
              </from>
              <to>
                <xdr:col>3</xdr:col>
                <xdr:colOff>2924175</xdr:colOff>
                <xdr:row>52</xdr:row>
                <xdr:rowOff>571500</xdr:rowOff>
              </to>
            </anchor>
          </objectPr>
        </oleObject>
      </mc:Choice>
      <mc:Fallback>
        <oleObject shapeId="114702" progId="Equation.KSEE3" r:id="rId30"/>
      </mc:Fallback>
    </mc:AlternateContent>
    <mc:AlternateContent xmlns:mc="http://schemas.openxmlformats.org/markup-compatibility/2006">
      <mc:Choice Requires="x14">
        <oleObject shapeId="114703" progId="Equation.KSEE3" r:id="rId32">
          <objectPr defaultSize="0" r:id="rId33">
            <anchor moveWithCells="1">
              <from>
                <xdr:col>3</xdr:col>
                <xdr:colOff>1476375</xdr:colOff>
                <xdr:row>53</xdr:row>
                <xdr:rowOff>38100</xdr:rowOff>
              </from>
              <to>
                <xdr:col>3</xdr:col>
                <xdr:colOff>2076450</xdr:colOff>
                <xdr:row>53</xdr:row>
                <xdr:rowOff>428625</xdr:rowOff>
              </to>
            </anchor>
          </objectPr>
        </oleObject>
      </mc:Choice>
      <mc:Fallback>
        <oleObject shapeId="114703" progId="Equation.KSEE3" r:id="rId32"/>
      </mc:Fallback>
    </mc:AlternateContent>
    <mc:AlternateContent xmlns:mc="http://schemas.openxmlformats.org/markup-compatibility/2006">
      <mc:Choice Requires="x14">
        <oleObject shapeId="114704" progId="Equation.KSEE3" r:id="rId34">
          <objectPr defaultSize="0" r:id="rId35">
            <anchor moveWithCells="1">
              <from>
                <xdr:col>3</xdr:col>
                <xdr:colOff>914400</xdr:colOff>
                <xdr:row>54</xdr:row>
                <xdr:rowOff>28575</xdr:rowOff>
              </from>
              <to>
                <xdr:col>3</xdr:col>
                <xdr:colOff>2676525</xdr:colOff>
                <xdr:row>54</xdr:row>
                <xdr:rowOff>514350</xdr:rowOff>
              </to>
            </anchor>
          </objectPr>
        </oleObject>
      </mc:Choice>
      <mc:Fallback>
        <oleObject shapeId="114704" progId="Equation.KSEE3" r:id="rId34"/>
      </mc:Fallback>
    </mc:AlternateContent>
    <mc:AlternateContent xmlns:mc="http://schemas.openxmlformats.org/markup-compatibility/2006">
      <mc:Choice Requires="x14">
        <oleObject shapeId="114705" progId="Equation.KSEE3" r:id="rId36">
          <objectPr defaultSize="0" r:id="rId37">
            <anchor moveWithCells="1">
              <from>
                <xdr:col>3</xdr:col>
                <xdr:colOff>790575</xdr:colOff>
                <xdr:row>44</xdr:row>
                <xdr:rowOff>38100</xdr:rowOff>
              </from>
              <to>
                <xdr:col>3</xdr:col>
                <xdr:colOff>3114675</xdr:colOff>
                <xdr:row>44</xdr:row>
                <xdr:rowOff>1028700</xdr:rowOff>
              </to>
            </anchor>
          </objectPr>
        </oleObject>
      </mc:Choice>
      <mc:Fallback>
        <oleObject shapeId="114705" progId="Equation.KSEE3" r:id="rId36"/>
      </mc:Fallback>
    </mc:AlternateContent>
    <mc:AlternateContent xmlns:mc="http://schemas.openxmlformats.org/markup-compatibility/2006">
      <mc:Choice Requires="x14">
        <oleObject shapeId="114706" progId="Equation.KSEE3" r:id="rId38">
          <objectPr defaultSize="0" r:id="rId39">
            <anchor moveWithCells="1">
              <from>
                <xdr:col>3</xdr:col>
                <xdr:colOff>695325</xdr:colOff>
                <xdr:row>50</xdr:row>
                <xdr:rowOff>38100</xdr:rowOff>
              </from>
              <to>
                <xdr:col>3</xdr:col>
                <xdr:colOff>2876550</xdr:colOff>
                <xdr:row>50</xdr:row>
                <xdr:rowOff>542925</xdr:rowOff>
              </to>
            </anchor>
          </objectPr>
        </oleObject>
      </mc:Choice>
      <mc:Fallback>
        <oleObject shapeId="114706" progId="Equation.KSEE3" r:id="rId38"/>
      </mc:Fallback>
    </mc:AlternateContent>
    <mc:AlternateContent xmlns:mc="http://schemas.openxmlformats.org/markup-compatibility/2006">
      <mc:Choice Requires="x14">
        <oleObject shapeId="114707" progId="Equation.KSEE3" r:id="rId40">
          <objectPr defaultSize="0" r:id="rId41">
            <anchor moveWithCells="1">
              <from>
                <xdr:col>3</xdr:col>
                <xdr:colOff>742950</xdr:colOff>
                <xdr:row>55</xdr:row>
                <xdr:rowOff>38100</xdr:rowOff>
              </from>
              <to>
                <xdr:col>3</xdr:col>
                <xdr:colOff>2800350</xdr:colOff>
                <xdr:row>55</xdr:row>
                <xdr:rowOff>600075</xdr:rowOff>
              </to>
            </anchor>
          </objectPr>
        </oleObject>
      </mc:Choice>
      <mc:Fallback>
        <oleObject shapeId="114707" progId="Equation.KSEE3" r:id="rId40"/>
      </mc:Fallback>
    </mc:AlternateContent>
    <mc:AlternateContent xmlns:mc="http://schemas.openxmlformats.org/markup-compatibility/2006">
      <mc:Choice Requires="x14">
        <oleObject shapeId="114708" progId="Equation.KSEE3" r:id="rId42">
          <objectPr defaultSize="0" r:id="rId43">
            <anchor moveWithCells="1">
              <from>
                <xdr:col>3</xdr:col>
                <xdr:colOff>1123950</xdr:colOff>
                <xdr:row>56</xdr:row>
                <xdr:rowOff>47625</xdr:rowOff>
              </from>
              <to>
                <xdr:col>3</xdr:col>
                <xdr:colOff>2505075</xdr:colOff>
                <xdr:row>56</xdr:row>
                <xdr:rowOff>285750</xdr:rowOff>
              </to>
            </anchor>
          </objectPr>
        </oleObject>
      </mc:Choice>
      <mc:Fallback>
        <oleObject shapeId="114708" progId="Equation.KSEE3" r:id="rId42"/>
      </mc:Fallback>
    </mc:AlternateContent>
    <mc:AlternateContent xmlns:mc="http://schemas.openxmlformats.org/markup-compatibility/2006">
      <mc:Choice Requires="x14">
        <oleObject shapeId="114709" progId="Equation.KSEE3" r:id="rId44">
          <objectPr defaultSize="0" r:id="rId45">
            <anchor moveWithCells="1">
              <from>
                <xdr:col>3</xdr:col>
                <xdr:colOff>600075</xdr:colOff>
                <xdr:row>57</xdr:row>
                <xdr:rowOff>47625</xdr:rowOff>
              </from>
              <to>
                <xdr:col>3</xdr:col>
                <xdr:colOff>3305175</xdr:colOff>
                <xdr:row>57</xdr:row>
                <xdr:rowOff>533400</xdr:rowOff>
              </to>
            </anchor>
          </objectPr>
        </oleObject>
      </mc:Choice>
      <mc:Fallback>
        <oleObject shapeId="114709" progId="Equation.KSEE3" r:id="rId44"/>
      </mc:Fallback>
    </mc:AlternateContent>
    <mc:AlternateContent xmlns:mc="http://schemas.openxmlformats.org/markup-compatibility/2006">
      <mc:Choice Requires="x14">
        <oleObject shapeId="114710" progId="Equation.KSEE3" r:id="rId46">
          <objectPr defaultSize="0" r:id="rId47">
            <anchor moveWithCells="1">
              <from>
                <xdr:col>3</xdr:col>
                <xdr:colOff>409575</xdr:colOff>
                <xdr:row>61</xdr:row>
                <xdr:rowOff>123825</xdr:rowOff>
              </from>
              <to>
                <xdr:col>3</xdr:col>
                <xdr:colOff>3305175</xdr:colOff>
                <xdr:row>61</xdr:row>
                <xdr:rowOff>676275</xdr:rowOff>
              </to>
            </anchor>
          </objectPr>
        </oleObject>
      </mc:Choice>
      <mc:Fallback>
        <oleObject shapeId="114710" progId="Equation.KSEE3" r:id="rId46"/>
      </mc:Fallback>
    </mc:AlternateContent>
    <mc:AlternateContent xmlns:mc="http://schemas.openxmlformats.org/markup-compatibility/2006">
      <mc:Choice Requires="x14">
        <oleObject shapeId="114711" progId="Equation.KSEE3" r:id="rId48">
          <objectPr defaultSize="0" r:id="rId49">
            <anchor moveWithCells="1">
              <from>
                <xdr:col>3</xdr:col>
                <xdr:colOff>409575</xdr:colOff>
                <xdr:row>62</xdr:row>
                <xdr:rowOff>38100</xdr:rowOff>
              </from>
              <to>
                <xdr:col>3</xdr:col>
                <xdr:colOff>3352800</xdr:colOff>
                <xdr:row>62</xdr:row>
                <xdr:rowOff>600075</xdr:rowOff>
              </to>
            </anchor>
          </objectPr>
        </oleObject>
      </mc:Choice>
      <mc:Fallback>
        <oleObject shapeId="114711" progId="Equation.KSEE3" r:id="rId48"/>
      </mc:Fallback>
    </mc:AlternateContent>
    <mc:AlternateContent xmlns:mc="http://schemas.openxmlformats.org/markup-compatibility/2006">
      <mc:Choice Requires="x14">
        <oleObject shapeId="114712" progId="Equation.KSEE3" r:id="rId50">
          <objectPr defaultSize="0" r:id="rId51">
            <anchor moveWithCells="1">
              <from>
                <xdr:col>3</xdr:col>
                <xdr:colOff>1181100</xdr:colOff>
                <xdr:row>63</xdr:row>
                <xdr:rowOff>57150</xdr:rowOff>
              </from>
              <to>
                <xdr:col>3</xdr:col>
                <xdr:colOff>2562225</xdr:colOff>
                <xdr:row>63</xdr:row>
                <xdr:rowOff>295275</xdr:rowOff>
              </to>
            </anchor>
          </objectPr>
        </oleObject>
      </mc:Choice>
      <mc:Fallback>
        <oleObject shapeId="114712" progId="Equation.KSEE3" r:id="rId50"/>
      </mc:Fallback>
    </mc:AlternateContent>
    <mc:AlternateContent xmlns:mc="http://schemas.openxmlformats.org/markup-compatibility/2006">
      <mc:Choice Requires="x14">
        <oleObject shapeId="114713" progId="Equation.KSEE3" r:id="rId52">
          <objectPr defaultSize="0" r:id="rId53">
            <anchor moveWithCells="1">
              <from>
                <xdr:col>3</xdr:col>
                <xdr:colOff>161925</xdr:colOff>
                <xdr:row>64</xdr:row>
                <xdr:rowOff>85725</xdr:rowOff>
              </from>
              <to>
                <xdr:col>3</xdr:col>
                <xdr:colOff>3657600</xdr:colOff>
                <xdr:row>64</xdr:row>
                <xdr:rowOff>571500</xdr:rowOff>
              </to>
            </anchor>
          </objectPr>
        </oleObject>
      </mc:Choice>
      <mc:Fallback>
        <oleObject shapeId="114713" progId="Equation.KSEE3" r:id="rId52"/>
      </mc:Fallback>
    </mc:AlternateContent>
    <mc:AlternateContent xmlns:mc="http://schemas.openxmlformats.org/markup-compatibility/2006">
      <mc:Choice Requires="x14">
        <oleObject shapeId="114714" progId="Equation.KSEE3" r:id="rId54">
          <objectPr defaultSize="0" r:id="rId41">
            <anchor moveWithCells="1">
              <from>
                <xdr:col>3</xdr:col>
                <xdr:colOff>885825</xdr:colOff>
                <xdr:row>66</xdr:row>
                <xdr:rowOff>66675</xdr:rowOff>
              </from>
              <to>
                <xdr:col>3</xdr:col>
                <xdr:colOff>2943225</xdr:colOff>
                <xdr:row>66</xdr:row>
                <xdr:rowOff>628650</xdr:rowOff>
              </to>
            </anchor>
          </objectPr>
        </oleObject>
      </mc:Choice>
      <mc:Fallback>
        <oleObject shapeId="114714" progId="Equation.KSEE3" r:id="rId54"/>
      </mc:Fallback>
    </mc:AlternateContent>
    <mc:AlternateContent xmlns:mc="http://schemas.openxmlformats.org/markup-compatibility/2006">
      <mc:Choice Requires="x14">
        <oleObject shapeId="114715" progId="Equation.KSEE3" r:id="rId55">
          <objectPr defaultSize="0" r:id="rId56">
            <anchor moveWithCells="1">
              <from>
                <xdr:col>3</xdr:col>
                <xdr:colOff>1200150</xdr:colOff>
                <xdr:row>67</xdr:row>
                <xdr:rowOff>38100</xdr:rowOff>
              </from>
              <to>
                <xdr:col>3</xdr:col>
                <xdr:colOff>2647950</xdr:colOff>
                <xdr:row>67</xdr:row>
                <xdr:rowOff>276225</xdr:rowOff>
              </to>
            </anchor>
          </objectPr>
        </oleObject>
      </mc:Choice>
      <mc:Fallback>
        <oleObject shapeId="114715" progId="Equation.KSEE3" r:id="rId55"/>
      </mc:Fallback>
    </mc:AlternateContent>
    <mc:AlternateContent xmlns:mc="http://schemas.openxmlformats.org/markup-compatibility/2006">
      <mc:Choice Requires="x14">
        <oleObject shapeId="114716" progId="Equation.KSEE3" r:id="rId57">
          <objectPr defaultSize="0" r:id="rId45">
            <anchor moveWithCells="1">
              <from>
                <xdr:col>3</xdr:col>
                <xdr:colOff>485775</xdr:colOff>
                <xdr:row>68</xdr:row>
                <xdr:rowOff>47625</xdr:rowOff>
              </from>
              <to>
                <xdr:col>3</xdr:col>
                <xdr:colOff>3190875</xdr:colOff>
                <xdr:row>68</xdr:row>
                <xdr:rowOff>533400</xdr:rowOff>
              </to>
            </anchor>
          </objectPr>
        </oleObject>
      </mc:Choice>
      <mc:Fallback>
        <oleObject shapeId="114716" progId="Equation.KSEE3" r:id="rId57"/>
      </mc:Fallback>
    </mc:AlternateContent>
    <mc:AlternateContent xmlns:mc="http://schemas.openxmlformats.org/markup-compatibility/2006">
      <mc:Choice Requires="x14">
        <oleObject shapeId="114753" progId="Equation.KSEE3" r:id="rId58">
          <objectPr defaultSize="0" r:id="rId59">
            <anchor moveWithCells="1">
              <from>
                <xdr:col>3</xdr:col>
                <xdr:colOff>1114425</xdr:colOff>
                <xdr:row>35</xdr:row>
                <xdr:rowOff>66675</xdr:rowOff>
              </from>
              <to>
                <xdr:col>3</xdr:col>
                <xdr:colOff>2619375</xdr:colOff>
                <xdr:row>35</xdr:row>
                <xdr:rowOff>657225</xdr:rowOff>
              </to>
            </anchor>
          </objectPr>
        </oleObject>
      </mc:Choice>
      <mc:Fallback>
        <oleObject shapeId="114753" progId="Equation.KSEE3" r:id="rId58"/>
      </mc:Fallback>
    </mc:AlternateContent>
    <mc:AlternateContent xmlns:mc="http://schemas.openxmlformats.org/markup-compatibility/2006">
      <mc:Choice Requires="x14">
        <oleObject shapeId="114754" progId="Equation.KSEE3" r:id="rId60">
          <objectPr defaultSize="0" r:id="rId61">
            <anchor moveWithCells="1">
              <from>
                <xdr:col>3</xdr:col>
                <xdr:colOff>546100</xdr:colOff>
                <xdr:row>59</xdr:row>
                <xdr:rowOff>38100</xdr:rowOff>
              </from>
              <to>
                <xdr:col>3</xdr:col>
                <xdr:colOff>3302000</xdr:colOff>
                <xdr:row>59</xdr:row>
                <xdr:rowOff>495300</xdr:rowOff>
              </to>
            </anchor>
          </objectPr>
        </oleObject>
      </mc:Choice>
      <mc:Fallback>
        <oleObject shapeId="114754" progId="Equation.KSEE3" r:id="rId60"/>
      </mc:Fallback>
    </mc:AlternateContent>
    <mc:AlternateContent xmlns:mc="http://schemas.openxmlformats.org/markup-compatibility/2006">
      <mc:Choice Requires="x14">
        <oleObject shapeId="114755" progId="Equation.KSEE3" r:id="rId62">
          <objectPr defaultSize="0" r:id="rId63">
            <anchor moveWithCells="1">
              <from>
                <xdr:col>3</xdr:col>
                <xdr:colOff>546100</xdr:colOff>
                <xdr:row>58</xdr:row>
                <xdr:rowOff>69850</xdr:rowOff>
              </from>
              <to>
                <xdr:col>3</xdr:col>
                <xdr:colOff>3365500</xdr:colOff>
                <xdr:row>58</xdr:row>
                <xdr:rowOff>654050</xdr:rowOff>
              </to>
            </anchor>
          </objectPr>
        </oleObject>
      </mc:Choice>
      <mc:Fallback>
        <oleObject shapeId="114755" progId="Equation.KSEE3" r:id="rId62"/>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V39"/>
  <sheetViews>
    <sheetView view="pageBreakPreview" zoomScale="85" zoomScaleNormal="85" workbookViewId="0">
      <pane xSplit="3" topLeftCell="D1" activePane="topRight" state="frozen"/>
      <selection/>
      <selection pane="topRight" activeCell="I42" sqref="I42"/>
    </sheetView>
  </sheetViews>
  <sheetFormatPr defaultColWidth="8.625" defaultRowHeight="15"/>
  <cols>
    <col min="1" max="1" width="8.625" style="2"/>
    <col min="2" max="2" width="8.625" style="3"/>
    <col min="3" max="3" width="8.625" style="4"/>
    <col min="4" max="4" width="8.625" style="5"/>
    <col min="5" max="22" width="8.625" style="3"/>
  </cols>
  <sheetData>
    <row r="1" ht="27.95" customHeight="1" spans="1:22">
      <c r="A1" s="6" t="s">
        <v>693</v>
      </c>
      <c r="B1" s="7"/>
      <c r="C1" s="7"/>
      <c r="D1" s="7"/>
      <c r="E1" s="7"/>
      <c r="F1" s="7"/>
      <c r="G1" s="7"/>
      <c r="H1" s="7"/>
      <c r="I1" s="7"/>
      <c r="J1" s="7"/>
      <c r="K1" s="7"/>
      <c r="L1" s="7"/>
      <c r="M1" s="7"/>
      <c r="N1" s="7"/>
      <c r="O1" s="7"/>
      <c r="P1" s="7"/>
      <c r="Q1" s="7"/>
      <c r="R1" s="7"/>
      <c r="S1" s="7"/>
      <c r="T1" s="7"/>
      <c r="U1" s="7"/>
      <c r="V1" s="7"/>
    </row>
    <row r="2" spans="1:22">
      <c r="A2" s="6" t="s">
        <v>694</v>
      </c>
      <c r="B2" s="7"/>
      <c r="C2" s="8" t="s">
        <v>695</v>
      </c>
      <c r="D2" s="9"/>
      <c r="E2" s="7" t="s">
        <v>696</v>
      </c>
      <c r="F2" s="7"/>
      <c r="G2" s="7"/>
      <c r="H2" s="7"/>
      <c r="I2" s="7"/>
      <c r="J2" s="7"/>
      <c r="K2" s="7"/>
      <c r="L2" s="7"/>
      <c r="M2" s="7"/>
      <c r="N2" s="7"/>
      <c r="O2" s="7"/>
      <c r="P2" s="7"/>
      <c r="Q2" s="7"/>
      <c r="R2" s="7"/>
      <c r="S2" s="7"/>
      <c r="T2" s="7"/>
      <c r="U2" s="7"/>
      <c r="V2" s="7"/>
    </row>
    <row r="3" s="1" customFormat="1" spans="1:22">
      <c r="A3" s="6" t="s">
        <v>697</v>
      </c>
      <c r="B3" s="7" t="s">
        <v>698</v>
      </c>
      <c r="C3" s="7" t="s">
        <v>697</v>
      </c>
      <c r="D3" s="7" t="s">
        <v>698</v>
      </c>
      <c r="E3" s="7">
        <v>10</v>
      </c>
      <c r="F3" s="7">
        <v>20</v>
      </c>
      <c r="G3" s="7">
        <v>30</v>
      </c>
      <c r="H3" s="7">
        <v>40</v>
      </c>
      <c r="I3" s="7">
        <v>60</v>
      </c>
      <c r="J3" s="7">
        <v>80</v>
      </c>
      <c r="K3" s="7">
        <v>100</v>
      </c>
      <c r="L3" s="7">
        <v>120</v>
      </c>
      <c r="M3" s="7">
        <v>140</v>
      </c>
      <c r="N3" s="7">
        <v>160</v>
      </c>
      <c r="O3" s="7" t="s">
        <v>699</v>
      </c>
      <c r="P3" s="7" t="s">
        <v>700</v>
      </c>
      <c r="Q3" s="7" t="s">
        <v>701</v>
      </c>
      <c r="R3" s="7" t="s">
        <v>702</v>
      </c>
      <c r="S3" s="7" t="s">
        <v>703</v>
      </c>
      <c r="T3" s="7" t="s">
        <v>704</v>
      </c>
      <c r="U3" s="7" t="s">
        <v>705</v>
      </c>
      <c r="V3" s="7" t="s">
        <v>706</v>
      </c>
    </row>
    <row r="4" spans="1:22">
      <c r="A4" s="6" t="s">
        <v>707</v>
      </c>
      <c r="B4" s="7">
        <v>6</v>
      </c>
      <c r="C4" s="7">
        <v>10.3</v>
      </c>
      <c r="D4" s="10"/>
      <c r="E4" s="7"/>
      <c r="F4" s="7"/>
      <c r="G4" s="7"/>
      <c r="H4" s="7">
        <v>1.73</v>
      </c>
      <c r="I4" s="7"/>
      <c r="J4" s="7">
        <v>2.41</v>
      </c>
      <c r="K4" s="7"/>
      <c r="L4" s="7"/>
      <c r="M4" s="7"/>
      <c r="N4" s="7"/>
      <c r="O4" s="7">
        <v>1.73</v>
      </c>
      <c r="P4" s="7">
        <v>2.41</v>
      </c>
      <c r="Q4" s="7"/>
      <c r="R4" s="7"/>
      <c r="S4" s="7">
        <v>1.24</v>
      </c>
      <c r="T4" s="7"/>
      <c r="U4" s="7">
        <v>1.73</v>
      </c>
      <c r="V4" s="7">
        <v>2.41</v>
      </c>
    </row>
    <row r="5" spans="1:22">
      <c r="A5" s="6" t="s">
        <v>708</v>
      </c>
      <c r="B5" s="7">
        <v>8</v>
      </c>
      <c r="C5" s="7">
        <v>13.7</v>
      </c>
      <c r="D5" s="10"/>
      <c r="E5" s="7"/>
      <c r="F5" s="7"/>
      <c r="G5" s="7"/>
      <c r="H5" s="7">
        <v>2.24</v>
      </c>
      <c r="I5" s="7"/>
      <c r="J5" s="7">
        <v>3.02</v>
      </c>
      <c r="K5" s="7"/>
      <c r="L5" s="7"/>
      <c r="M5" s="7"/>
      <c r="N5" s="7"/>
      <c r="O5" s="7">
        <v>2.24</v>
      </c>
      <c r="P5" s="7">
        <v>3.02</v>
      </c>
      <c r="Q5" s="7"/>
      <c r="R5" s="7"/>
      <c r="S5" s="7">
        <v>1.65</v>
      </c>
      <c r="T5" s="7"/>
      <c r="U5" s="7">
        <v>2.24</v>
      </c>
      <c r="V5" s="7">
        <v>3.02</v>
      </c>
    </row>
    <row r="6" spans="1:22">
      <c r="A6" s="6" t="s">
        <v>709</v>
      </c>
      <c r="B6" s="7">
        <v>10</v>
      </c>
      <c r="C6" s="7">
        <v>17.2</v>
      </c>
      <c r="D6" s="10">
        <v>14</v>
      </c>
      <c r="E6" s="7"/>
      <c r="F6" s="7"/>
      <c r="G6" s="7"/>
      <c r="H6" s="7">
        <v>2.31</v>
      </c>
      <c r="I6" s="7"/>
      <c r="J6" s="7">
        <v>3.32</v>
      </c>
      <c r="K6" s="7"/>
      <c r="L6" s="7"/>
      <c r="M6" s="7"/>
      <c r="N6" s="7"/>
      <c r="O6" s="7">
        <v>2.31</v>
      </c>
      <c r="P6" s="7">
        <v>3.32</v>
      </c>
      <c r="Q6" s="7"/>
      <c r="R6" s="7"/>
      <c r="S6" s="7">
        <v>1.65</v>
      </c>
      <c r="T6" s="7">
        <v>2</v>
      </c>
      <c r="U6" s="7">
        <v>2.31</v>
      </c>
      <c r="V6" s="7">
        <v>3.2</v>
      </c>
    </row>
    <row r="7" spans="1:22">
      <c r="A7" s="6" t="s">
        <v>710</v>
      </c>
      <c r="B7" s="7">
        <v>15</v>
      </c>
      <c r="C7" s="7">
        <v>21.3</v>
      </c>
      <c r="D7" s="10">
        <v>18</v>
      </c>
      <c r="E7" s="7"/>
      <c r="F7" s="7"/>
      <c r="G7" s="7"/>
      <c r="H7" s="7">
        <v>2.77</v>
      </c>
      <c r="I7" s="7"/>
      <c r="J7" s="7">
        <v>3.73</v>
      </c>
      <c r="K7" s="7"/>
      <c r="L7" s="7"/>
      <c r="M7" s="7"/>
      <c r="N7" s="7">
        <v>4.78</v>
      </c>
      <c r="O7" s="7">
        <v>2.77</v>
      </c>
      <c r="P7" s="7">
        <v>3.73</v>
      </c>
      <c r="Q7" s="7">
        <v>7.47</v>
      </c>
      <c r="R7" s="7">
        <v>1.65</v>
      </c>
      <c r="S7" s="7">
        <v>2.11</v>
      </c>
      <c r="T7" s="7">
        <v>2.5</v>
      </c>
      <c r="U7" s="7">
        <v>2.77</v>
      </c>
      <c r="V7" s="7">
        <v>3.73</v>
      </c>
    </row>
    <row r="8" spans="1:22">
      <c r="A8" s="6" t="s">
        <v>711</v>
      </c>
      <c r="B8" s="7">
        <v>20</v>
      </c>
      <c r="C8" s="7">
        <v>26.9</v>
      </c>
      <c r="D8" s="10">
        <v>25</v>
      </c>
      <c r="E8" s="7"/>
      <c r="F8" s="7"/>
      <c r="G8" s="7"/>
      <c r="H8" s="7">
        <v>2.87</v>
      </c>
      <c r="I8" s="7"/>
      <c r="J8" s="7">
        <v>3.91</v>
      </c>
      <c r="K8" s="7"/>
      <c r="L8" s="7"/>
      <c r="M8" s="7"/>
      <c r="N8" s="7">
        <v>5.56</v>
      </c>
      <c r="O8" s="7">
        <v>2.87</v>
      </c>
      <c r="P8" s="7">
        <v>3.91</v>
      </c>
      <c r="Q8" s="7">
        <v>7.82</v>
      </c>
      <c r="R8" s="7">
        <v>1.65</v>
      </c>
      <c r="S8" s="7">
        <v>2.11</v>
      </c>
      <c r="T8" s="7">
        <v>2.5</v>
      </c>
      <c r="U8" s="7">
        <v>2.87</v>
      </c>
      <c r="V8" s="7">
        <v>3.91</v>
      </c>
    </row>
    <row r="9" spans="1:22">
      <c r="A9" s="6">
        <v>1</v>
      </c>
      <c r="B9" s="7">
        <v>25</v>
      </c>
      <c r="C9" s="7">
        <v>33.7</v>
      </c>
      <c r="D9" s="10">
        <v>32</v>
      </c>
      <c r="E9" s="7"/>
      <c r="F9" s="7"/>
      <c r="G9" s="7"/>
      <c r="H9" s="7">
        <v>3.38</v>
      </c>
      <c r="I9" s="7"/>
      <c r="J9" s="7">
        <v>4.55</v>
      </c>
      <c r="K9" s="7"/>
      <c r="L9" s="7"/>
      <c r="M9" s="7"/>
      <c r="N9" s="7">
        <v>6.35</v>
      </c>
      <c r="O9" s="7">
        <v>3.38</v>
      </c>
      <c r="P9" s="7">
        <v>4.55</v>
      </c>
      <c r="Q9" s="7">
        <v>9.09</v>
      </c>
      <c r="R9" s="7">
        <v>1.65</v>
      </c>
      <c r="S9" s="7">
        <v>2.77</v>
      </c>
      <c r="T9" s="7">
        <v>3</v>
      </c>
      <c r="U9" s="7">
        <v>3.38</v>
      </c>
      <c r="V9" s="7">
        <v>4.55</v>
      </c>
    </row>
    <row r="10" spans="1:22">
      <c r="A10" s="6" t="s">
        <v>712</v>
      </c>
      <c r="B10" s="7">
        <v>32</v>
      </c>
      <c r="C10" s="7">
        <v>42.4</v>
      </c>
      <c r="D10" s="10">
        <v>38</v>
      </c>
      <c r="E10" s="7"/>
      <c r="F10" s="7"/>
      <c r="G10" s="7"/>
      <c r="H10" s="7">
        <v>3.56</v>
      </c>
      <c r="I10" s="7"/>
      <c r="J10" s="7">
        <v>4.85</v>
      </c>
      <c r="K10" s="7"/>
      <c r="L10" s="7"/>
      <c r="M10" s="7"/>
      <c r="N10" s="7">
        <v>6.35</v>
      </c>
      <c r="O10" s="7">
        <v>3.56</v>
      </c>
      <c r="P10" s="7">
        <v>4.85</v>
      </c>
      <c r="Q10" s="7">
        <v>9.7</v>
      </c>
      <c r="R10" s="7">
        <v>1.65</v>
      </c>
      <c r="S10" s="7">
        <v>2.77</v>
      </c>
      <c r="T10" s="7">
        <v>3</v>
      </c>
      <c r="U10" s="7">
        <v>3.56</v>
      </c>
      <c r="V10" s="7">
        <v>4.85</v>
      </c>
    </row>
    <row r="11" spans="1:22">
      <c r="A11" s="6" t="s">
        <v>713</v>
      </c>
      <c r="B11" s="7">
        <v>40</v>
      </c>
      <c r="C11" s="7">
        <v>48.3</v>
      </c>
      <c r="D11" s="10">
        <v>45</v>
      </c>
      <c r="E11" s="7"/>
      <c r="F11" s="7"/>
      <c r="G11" s="7"/>
      <c r="H11" s="7">
        <v>3.68</v>
      </c>
      <c r="I11" s="7"/>
      <c r="J11" s="7">
        <v>5.08</v>
      </c>
      <c r="K11" s="7"/>
      <c r="L11" s="7"/>
      <c r="M11" s="7"/>
      <c r="N11" s="7">
        <v>7.14</v>
      </c>
      <c r="O11" s="7">
        <v>3.68</v>
      </c>
      <c r="P11" s="7">
        <v>5.08</v>
      </c>
      <c r="Q11" s="7">
        <v>10.15</v>
      </c>
      <c r="R11" s="7">
        <v>1.65</v>
      </c>
      <c r="S11" s="7">
        <v>2.77</v>
      </c>
      <c r="T11" s="7">
        <v>3</v>
      </c>
      <c r="U11" s="7">
        <v>3.68</v>
      </c>
      <c r="V11" s="7">
        <v>5.08</v>
      </c>
    </row>
    <row r="12" spans="1:22">
      <c r="A12" s="6">
        <v>2</v>
      </c>
      <c r="B12" s="7">
        <v>50</v>
      </c>
      <c r="C12" s="7">
        <v>60.3</v>
      </c>
      <c r="D12" s="10">
        <v>57</v>
      </c>
      <c r="E12" s="7"/>
      <c r="F12" s="7"/>
      <c r="G12" s="7"/>
      <c r="H12" s="7">
        <v>3.91</v>
      </c>
      <c r="I12" s="7"/>
      <c r="J12" s="7">
        <v>5.54</v>
      </c>
      <c r="K12" s="7"/>
      <c r="L12" s="7"/>
      <c r="M12" s="7"/>
      <c r="N12" s="7">
        <v>8.74</v>
      </c>
      <c r="O12" s="7">
        <v>3.91</v>
      </c>
      <c r="P12" s="7">
        <v>5.54</v>
      </c>
      <c r="Q12" s="7">
        <v>11.07</v>
      </c>
      <c r="R12" s="7">
        <v>1.65</v>
      </c>
      <c r="S12" s="7">
        <v>2.77</v>
      </c>
      <c r="T12" s="7">
        <v>3.5</v>
      </c>
      <c r="U12" s="7">
        <v>3.91</v>
      </c>
      <c r="V12" s="7">
        <v>5.54</v>
      </c>
    </row>
    <row r="13" spans="1:22">
      <c r="A13" s="6" t="s">
        <v>714</v>
      </c>
      <c r="B13" s="7">
        <v>65</v>
      </c>
      <c r="C13" s="7">
        <v>76.1</v>
      </c>
      <c r="D13" s="10">
        <v>76</v>
      </c>
      <c r="E13" s="7"/>
      <c r="F13" s="7"/>
      <c r="G13" s="7"/>
      <c r="H13" s="7">
        <v>5.16</v>
      </c>
      <c r="I13" s="7"/>
      <c r="J13" s="7">
        <v>7.01</v>
      </c>
      <c r="K13" s="7"/>
      <c r="L13" s="7"/>
      <c r="M13" s="7"/>
      <c r="N13" s="7">
        <v>9.53</v>
      </c>
      <c r="O13" s="7">
        <v>5.16</v>
      </c>
      <c r="P13" s="7">
        <v>7.01</v>
      </c>
      <c r="Q13" s="7">
        <v>14.02</v>
      </c>
      <c r="R13" s="7">
        <v>2.11</v>
      </c>
      <c r="S13" s="7">
        <v>3.05</v>
      </c>
      <c r="T13" s="7">
        <v>3.5</v>
      </c>
      <c r="U13" s="7">
        <v>5.16</v>
      </c>
      <c r="V13" s="7">
        <v>7.01</v>
      </c>
    </row>
    <row r="14" spans="1:22">
      <c r="A14" s="6">
        <v>3</v>
      </c>
      <c r="B14" s="7">
        <v>80</v>
      </c>
      <c r="C14" s="7">
        <v>88.9</v>
      </c>
      <c r="D14" s="10">
        <v>89</v>
      </c>
      <c r="E14" s="7"/>
      <c r="F14" s="7"/>
      <c r="G14" s="7"/>
      <c r="H14" s="7">
        <v>5.49</v>
      </c>
      <c r="I14" s="7"/>
      <c r="J14" s="7">
        <v>7.62</v>
      </c>
      <c r="K14" s="7"/>
      <c r="L14" s="7"/>
      <c r="M14" s="7"/>
      <c r="N14" s="7">
        <v>11.13</v>
      </c>
      <c r="O14" s="7">
        <v>5.49</v>
      </c>
      <c r="P14" s="7">
        <v>7.62</v>
      </c>
      <c r="Q14" s="7">
        <v>15.24</v>
      </c>
      <c r="R14" s="7">
        <v>2.11</v>
      </c>
      <c r="S14" s="7">
        <v>3.05</v>
      </c>
      <c r="T14" s="7">
        <v>4</v>
      </c>
      <c r="U14" s="7">
        <v>5.49</v>
      </c>
      <c r="V14" s="7">
        <v>7.62</v>
      </c>
    </row>
    <row r="15" spans="1:22">
      <c r="A15" s="6" t="s">
        <v>715</v>
      </c>
      <c r="B15" s="7">
        <v>90</v>
      </c>
      <c r="C15" s="7">
        <v>101.6</v>
      </c>
      <c r="D15" s="10" t="s">
        <v>716</v>
      </c>
      <c r="E15" s="7"/>
      <c r="F15" s="7"/>
      <c r="G15" s="7"/>
      <c r="H15" s="7">
        <v>5.74</v>
      </c>
      <c r="I15" s="7"/>
      <c r="J15" s="7">
        <v>8.08</v>
      </c>
      <c r="K15" s="7"/>
      <c r="L15" s="7"/>
      <c r="M15" s="7"/>
      <c r="N15" s="7"/>
      <c r="O15" s="7">
        <v>5.74</v>
      </c>
      <c r="P15" s="7">
        <v>8.08</v>
      </c>
      <c r="Q15" s="7"/>
      <c r="R15" s="7">
        <v>2.11</v>
      </c>
      <c r="S15" s="7">
        <v>3.05</v>
      </c>
      <c r="T15" s="7"/>
      <c r="U15" s="7">
        <v>5.74</v>
      </c>
      <c r="V15" s="7">
        <v>8.08</v>
      </c>
    </row>
    <row r="16" spans="1:22">
      <c r="A16" s="6">
        <v>4</v>
      </c>
      <c r="B16" s="7">
        <v>100</v>
      </c>
      <c r="C16" s="7">
        <v>114.3</v>
      </c>
      <c r="D16" s="10">
        <v>108</v>
      </c>
      <c r="E16" s="7"/>
      <c r="F16" s="7"/>
      <c r="G16" s="7"/>
      <c r="H16" s="7">
        <v>6.02</v>
      </c>
      <c r="I16" s="7"/>
      <c r="J16" s="7">
        <v>8.56</v>
      </c>
      <c r="K16" s="7"/>
      <c r="L16" s="7">
        <v>11.13</v>
      </c>
      <c r="M16" s="7"/>
      <c r="N16" s="7">
        <v>13.49</v>
      </c>
      <c r="O16" s="7">
        <v>6.02</v>
      </c>
      <c r="P16" s="7">
        <v>8.56</v>
      </c>
      <c r="Q16" s="7">
        <v>17.12</v>
      </c>
      <c r="R16" s="7">
        <v>2.11</v>
      </c>
      <c r="S16" s="7">
        <v>3.05</v>
      </c>
      <c r="T16" s="7">
        <v>4</v>
      </c>
      <c r="U16" s="7">
        <v>6.02</v>
      </c>
      <c r="V16" s="7">
        <v>8.56</v>
      </c>
    </row>
    <row r="17" spans="1:22">
      <c r="A17" s="6">
        <v>5</v>
      </c>
      <c r="B17" s="7">
        <v>125</v>
      </c>
      <c r="C17" s="7">
        <v>139.7</v>
      </c>
      <c r="D17" s="10">
        <v>133</v>
      </c>
      <c r="E17" s="7"/>
      <c r="F17" s="7"/>
      <c r="G17" s="7"/>
      <c r="H17" s="7">
        <v>6.55</v>
      </c>
      <c r="I17" s="7"/>
      <c r="J17" s="7">
        <v>9.53</v>
      </c>
      <c r="K17" s="7"/>
      <c r="L17" s="7">
        <v>12.7</v>
      </c>
      <c r="M17" s="7"/>
      <c r="N17" s="7">
        <v>15.88</v>
      </c>
      <c r="O17" s="7">
        <v>6.55</v>
      </c>
      <c r="P17" s="7">
        <v>9.53</v>
      </c>
      <c r="Q17" s="7">
        <v>19.05</v>
      </c>
      <c r="R17" s="7">
        <v>2.77</v>
      </c>
      <c r="S17" s="7">
        <v>3.4</v>
      </c>
      <c r="T17" s="7">
        <v>5</v>
      </c>
      <c r="U17" s="7">
        <v>6.55</v>
      </c>
      <c r="V17" s="7">
        <v>9.53</v>
      </c>
    </row>
    <row r="18" spans="1:22">
      <c r="A18" s="6">
        <v>6</v>
      </c>
      <c r="B18" s="7">
        <v>150</v>
      </c>
      <c r="C18" s="7">
        <v>168.3</v>
      </c>
      <c r="D18" s="10">
        <v>159</v>
      </c>
      <c r="E18" s="7"/>
      <c r="F18" s="7"/>
      <c r="G18" s="7"/>
      <c r="H18" s="7">
        <v>7.11</v>
      </c>
      <c r="I18" s="7"/>
      <c r="J18" s="7">
        <v>10.97</v>
      </c>
      <c r="K18" s="7"/>
      <c r="L18" s="7">
        <v>14.27</v>
      </c>
      <c r="M18" s="7"/>
      <c r="N18" s="7">
        <v>18.26</v>
      </c>
      <c r="O18" s="7">
        <v>7.11</v>
      </c>
      <c r="P18" s="7">
        <v>10.97</v>
      </c>
      <c r="Q18" s="7">
        <v>21.95</v>
      </c>
      <c r="R18" s="7">
        <v>2.77</v>
      </c>
      <c r="S18" s="7">
        <v>3.4</v>
      </c>
      <c r="T18" s="7">
        <v>5</v>
      </c>
      <c r="U18" s="7">
        <v>7.11</v>
      </c>
      <c r="V18" s="7">
        <v>10.97</v>
      </c>
    </row>
    <row r="19" spans="1:22">
      <c r="A19" s="6">
        <v>8</v>
      </c>
      <c r="B19" s="7">
        <v>200</v>
      </c>
      <c r="C19" s="7">
        <v>219.1</v>
      </c>
      <c r="D19" s="10">
        <v>219</v>
      </c>
      <c r="E19" s="7"/>
      <c r="F19" s="7">
        <v>6.35</v>
      </c>
      <c r="G19" s="7">
        <v>7.04</v>
      </c>
      <c r="H19" s="7">
        <v>8.18</v>
      </c>
      <c r="I19" s="7">
        <v>10.31</v>
      </c>
      <c r="J19" s="7">
        <v>12.7</v>
      </c>
      <c r="K19" s="7">
        <v>15.09</v>
      </c>
      <c r="L19" s="7">
        <v>18.26</v>
      </c>
      <c r="M19" s="7">
        <v>20.62</v>
      </c>
      <c r="N19" s="7">
        <v>23.01</v>
      </c>
      <c r="O19" s="7">
        <v>8.18</v>
      </c>
      <c r="P19" s="7">
        <v>12.7</v>
      </c>
      <c r="Q19" s="7">
        <v>22.23</v>
      </c>
      <c r="R19" s="7">
        <v>2.77</v>
      </c>
      <c r="S19" s="7">
        <v>3.76</v>
      </c>
      <c r="T19" s="7">
        <v>6.5</v>
      </c>
      <c r="U19" s="7">
        <v>8.18</v>
      </c>
      <c r="V19" s="7">
        <v>12.7</v>
      </c>
    </row>
    <row r="20" spans="1:22">
      <c r="A20" s="6">
        <v>10</v>
      </c>
      <c r="B20" s="7">
        <v>250</v>
      </c>
      <c r="C20" s="7">
        <v>273</v>
      </c>
      <c r="D20" s="10">
        <v>273</v>
      </c>
      <c r="E20" s="7"/>
      <c r="F20" s="7">
        <v>6.35</v>
      </c>
      <c r="G20" s="7">
        <v>7.8</v>
      </c>
      <c r="H20" s="7">
        <v>9.27</v>
      </c>
      <c r="I20" s="7">
        <v>12.7</v>
      </c>
      <c r="J20" s="7">
        <v>15.09</v>
      </c>
      <c r="K20" s="7">
        <v>18.26</v>
      </c>
      <c r="L20" s="7">
        <v>21.44</v>
      </c>
      <c r="M20" s="7">
        <v>25.4</v>
      </c>
      <c r="N20" s="7">
        <v>28.58</v>
      </c>
      <c r="O20" s="7">
        <v>9.27</v>
      </c>
      <c r="P20" s="7">
        <v>12.7</v>
      </c>
      <c r="Q20" s="7">
        <v>25.4</v>
      </c>
      <c r="R20" s="7">
        <v>3.4</v>
      </c>
      <c r="S20" s="7">
        <v>4.19</v>
      </c>
      <c r="T20" s="7">
        <v>6.5</v>
      </c>
      <c r="U20" s="7">
        <v>9.27</v>
      </c>
      <c r="V20" s="7">
        <v>12.7</v>
      </c>
    </row>
    <row r="21" spans="1:22">
      <c r="A21" s="6">
        <v>12</v>
      </c>
      <c r="B21" s="7">
        <v>300</v>
      </c>
      <c r="C21" s="7">
        <v>323.9</v>
      </c>
      <c r="D21" s="10">
        <v>325</v>
      </c>
      <c r="E21" s="7"/>
      <c r="F21" s="7">
        <v>6.35</v>
      </c>
      <c r="G21" s="7">
        <v>8.38</v>
      </c>
      <c r="H21" s="7">
        <v>10.31</v>
      </c>
      <c r="I21" s="7">
        <v>14.27</v>
      </c>
      <c r="J21" s="7">
        <v>17.48</v>
      </c>
      <c r="K21" s="7">
        <v>21.44</v>
      </c>
      <c r="L21" s="7">
        <v>25.4</v>
      </c>
      <c r="M21" s="7">
        <v>28.58</v>
      </c>
      <c r="N21" s="7">
        <v>33.32</v>
      </c>
      <c r="O21" s="7">
        <v>9.53</v>
      </c>
      <c r="P21" s="7">
        <v>12.7</v>
      </c>
      <c r="Q21" s="7">
        <v>25.4</v>
      </c>
      <c r="R21" s="7">
        <v>3.96</v>
      </c>
      <c r="S21" s="7">
        <v>4.57</v>
      </c>
      <c r="T21" s="7">
        <v>6.5</v>
      </c>
      <c r="U21" s="7">
        <v>9.53</v>
      </c>
      <c r="V21" s="7">
        <v>12.7</v>
      </c>
    </row>
    <row r="22" spans="1:22">
      <c r="A22" s="6">
        <v>14</v>
      </c>
      <c r="B22" s="7">
        <v>350</v>
      </c>
      <c r="C22" s="7">
        <v>355.6</v>
      </c>
      <c r="D22" s="10">
        <v>377</v>
      </c>
      <c r="E22" s="7">
        <v>6.35</v>
      </c>
      <c r="F22" s="7">
        <v>7.92</v>
      </c>
      <c r="G22" s="7">
        <v>9.53</v>
      </c>
      <c r="H22" s="7">
        <v>11.13</v>
      </c>
      <c r="I22" s="7">
        <v>15.09</v>
      </c>
      <c r="J22" s="7">
        <v>19.05</v>
      </c>
      <c r="K22" s="7">
        <v>23.83</v>
      </c>
      <c r="L22" s="7">
        <v>27.79</v>
      </c>
      <c r="M22" s="7">
        <v>31.75</v>
      </c>
      <c r="N22" s="7">
        <v>35.71</v>
      </c>
      <c r="O22" s="7">
        <v>9.53</v>
      </c>
      <c r="P22" s="7">
        <v>12.7</v>
      </c>
      <c r="Q22" s="7"/>
      <c r="R22" s="7">
        <v>3.96</v>
      </c>
      <c r="S22" s="7">
        <v>4.78</v>
      </c>
      <c r="T22" s="7"/>
      <c r="U22" s="7">
        <v>9.53</v>
      </c>
      <c r="V22" s="7">
        <v>12.7</v>
      </c>
    </row>
    <row r="23" spans="1:22">
      <c r="A23" s="6">
        <v>16</v>
      </c>
      <c r="B23" s="7">
        <v>400</v>
      </c>
      <c r="C23" s="7">
        <v>406.4</v>
      </c>
      <c r="D23" s="10">
        <v>426</v>
      </c>
      <c r="E23" s="7">
        <v>6.35</v>
      </c>
      <c r="F23" s="7">
        <v>7.92</v>
      </c>
      <c r="G23" s="7">
        <v>11.13</v>
      </c>
      <c r="H23" s="7">
        <v>12.27</v>
      </c>
      <c r="I23" s="7">
        <v>16.66</v>
      </c>
      <c r="J23" s="7">
        <v>21.44</v>
      </c>
      <c r="K23" s="7">
        <v>26.19</v>
      </c>
      <c r="L23" s="7">
        <v>30.96</v>
      </c>
      <c r="M23" s="7">
        <v>36.53</v>
      </c>
      <c r="N23" s="7">
        <v>40.49</v>
      </c>
      <c r="O23" s="7">
        <v>9.53</v>
      </c>
      <c r="P23" s="7">
        <v>12.7</v>
      </c>
      <c r="Q23" s="7"/>
      <c r="R23" s="7">
        <v>4.19</v>
      </c>
      <c r="S23" s="7">
        <v>4.78</v>
      </c>
      <c r="T23" s="7"/>
      <c r="U23" s="7">
        <v>9.53</v>
      </c>
      <c r="V23" s="7">
        <v>12.7</v>
      </c>
    </row>
    <row r="24" spans="1:22">
      <c r="A24" s="6">
        <v>18</v>
      </c>
      <c r="B24" s="7">
        <v>450</v>
      </c>
      <c r="C24" s="7">
        <v>457</v>
      </c>
      <c r="D24" s="10">
        <v>480</v>
      </c>
      <c r="E24" s="7">
        <v>6.35</v>
      </c>
      <c r="F24" s="7">
        <v>7.92</v>
      </c>
      <c r="G24" s="7">
        <v>12.7</v>
      </c>
      <c r="H24" s="7">
        <v>14.27</v>
      </c>
      <c r="I24" s="7">
        <v>19.05</v>
      </c>
      <c r="J24" s="7">
        <v>23.83</v>
      </c>
      <c r="K24" s="7">
        <v>29.36</v>
      </c>
      <c r="L24" s="7">
        <v>34.93</v>
      </c>
      <c r="M24" s="7">
        <v>39.68</v>
      </c>
      <c r="N24" s="7">
        <v>45.24</v>
      </c>
      <c r="O24" s="7">
        <v>9.53</v>
      </c>
      <c r="P24" s="7">
        <v>12.7</v>
      </c>
      <c r="Q24" s="7"/>
      <c r="R24" s="7">
        <v>4.19</v>
      </c>
      <c r="S24" s="7">
        <v>4.783</v>
      </c>
      <c r="T24" s="7"/>
      <c r="U24" s="7">
        <v>9.53</v>
      </c>
      <c r="V24" s="7">
        <v>12.7</v>
      </c>
    </row>
    <row r="25" spans="1:22">
      <c r="A25" s="6">
        <v>20</v>
      </c>
      <c r="B25" s="7">
        <v>500</v>
      </c>
      <c r="C25" s="7">
        <v>508</v>
      </c>
      <c r="D25" s="10">
        <v>530</v>
      </c>
      <c r="E25" s="7">
        <v>6.35</v>
      </c>
      <c r="F25" s="7">
        <v>9.53</v>
      </c>
      <c r="G25" s="7">
        <v>12.7</v>
      </c>
      <c r="H25" s="7">
        <v>15.09</v>
      </c>
      <c r="I25" s="7">
        <v>20.62</v>
      </c>
      <c r="J25" s="7">
        <v>26.19</v>
      </c>
      <c r="K25" s="7">
        <v>32.54</v>
      </c>
      <c r="L25" s="7">
        <v>38.1</v>
      </c>
      <c r="M25" s="7">
        <v>44.45</v>
      </c>
      <c r="N25" s="7">
        <v>50.01</v>
      </c>
      <c r="O25" s="7">
        <v>9.53</v>
      </c>
      <c r="P25" s="7">
        <v>12.7</v>
      </c>
      <c r="Q25" s="7"/>
      <c r="R25" s="7">
        <v>4.78</v>
      </c>
      <c r="S25" s="7">
        <v>5.54</v>
      </c>
      <c r="T25" s="7"/>
      <c r="U25" s="7">
        <v>9.53</v>
      </c>
      <c r="V25" s="7">
        <v>12.7</v>
      </c>
    </row>
    <row r="26" spans="1:22">
      <c r="A26" s="6">
        <v>22</v>
      </c>
      <c r="B26" s="7">
        <v>550</v>
      </c>
      <c r="C26" s="7">
        <v>559</v>
      </c>
      <c r="D26" s="10" t="s">
        <v>716</v>
      </c>
      <c r="E26" s="7">
        <v>6.35</v>
      </c>
      <c r="F26" s="7">
        <v>9.53</v>
      </c>
      <c r="G26" s="7">
        <v>14.27</v>
      </c>
      <c r="H26" s="7">
        <v>15.88</v>
      </c>
      <c r="I26" s="7">
        <v>22.23</v>
      </c>
      <c r="J26" s="7">
        <v>28.58</v>
      </c>
      <c r="K26" s="7">
        <v>34.93</v>
      </c>
      <c r="L26" s="7">
        <v>41.28</v>
      </c>
      <c r="M26" s="7">
        <v>47.63</v>
      </c>
      <c r="N26" s="7">
        <v>53.98</v>
      </c>
      <c r="O26" s="7">
        <v>9.53</v>
      </c>
      <c r="P26" s="7">
        <v>12.7</v>
      </c>
      <c r="Q26" s="7"/>
      <c r="R26" s="7">
        <v>4.78</v>
      </c>
      <c r="S26" s="7">
        <v>5.54</v>
      </c>
      <c r="T26" s="7"/>
      <c r="U26" s="7">
        <v>9.53</v>
      </c>
      <c r="V26" s="7">
        <v>12.7</v>
      </c>
    </row>
    <row r="27" spans="1:22">
      <c r="A27" s="6">
        <v>24</v>
      </c>
      <c r="B27" s="7">
        <v>600</v>
      </c>
      <c r="C27" s="7">
        <v>610</v>
      </c>
      <c r="D27" s="10">
        <v>630</v>
      </c>
      <c r="E27" s="7">
        <v>6.35</v>
      </c>
      <c r="F27" s="7">
        <v>9.53</v>
      </c>
      <c r="G27" s="7"/>
      <c r="H27" s="7">
        <v>17.45</v>
      </c>
      <c r="I27" s="7">
        <v>24.61</v>
      </c>
      <c r="J27" s="7">
        <v>30.96</v>
      </c>
      <c r="K27" s="7">
        <v>38.89</v>
      </c>
      <c r="L27" s="7">
        <v>46.02</v>
      </c>
      <c r="M27" s="7">
        <v>52.37</v>
      </c>
      <c r="N27" s="7">
        <v>59.54</v>
      </c>
      <c r="O27" s="7">
        <v>9.53</v>
      </c>
      <c r="P27" s="7">
        <v>12.7</v>
      </c>
      <c r="Q27" s="7"/>
      <c r="R27" s="7">
        <v>5.54</v>
      </c>
      <c r="S27" s="7"/>
      <c r="T27" s="7"/>
      <c r="U27" s="7">
        <v>9.53</v>
      </c>
      <c r="V27" s="7">
        <v>12.7</v>
      </c>
    </row>
    <row r="28" spans="1:22">
      <c r="A28" s="6">
        <v>26</v>
      </c>
      <c r="B28" s="7">
        <v>650</v>
      </c>
      <c r="C28" s="7">
        <v>660</v>
      </c>
      <c r="D28" s="10" t="s">
        <v>716</v>
      </c>
      <c r="E28" s="7">
        <v>7.92</v>
      </c>
      <c r="F28" s="7">
        <v>12.7</v>
      </c>
      <c r="G28" s="7">
        <v>15.88</v>
      </c>
      <c r="H28" s="7"/>
      <c r="I28" s="7"/>
      <c r="J28" s="7"/>
      <c r="K28" s="7"/>
      <c r="L28" s="7"/>
      <c r="M28" s="7"/>
      <c r="N28" s="7"/>
      <c r="O28" s="7">
        <v>9.53</v>
      </c>
      <c r="P28" s="7">
        <v>12.7</v>
      </c>
      <c r="Q28" s="7"/>
      <c r="R28" s="7"/>
      <c r="S28" s="7"/>
      <c r="T28" s="7"/>
      <c r="U28" s="7"/>
      <c r="V28" s="7"/>
    </row>
    <row r="29" spans="1:22">
      <c r="A29" s="6">
        <v>28</v>
      </c>
      <c r="B29" s="7">
        <v>700</v>
      </c>
      <c r="C29" s="7">
        <v>711</v>
      </c>
      <c r="D29" s="10">
        <v>720</v>
      </c>
      <c r="E29" s="7">
        <v>7.92</v>
      </c>
      <c r="F29" s="7">
        <v>12.7</v>
      </c>
      <c r="G29" s="7">
        <v>15.88</v>
      </c>
      <c r="H29" s="7"/>
      <c r="I29" s="7"/>
      <c r="J29" s="7"/>
      <c r="K29" s="7"/>
      <c r="L29" s="7"/>
      <c r="M29" s="7"/>
      <c r="N29" s="7"/>
      <c r="O29" s="7">
        <v>9.53</v>
      </c>
      <c r="P29" s="7">
        <v>12.7</v>
      </c>
      <c r="Q29" s="7"/>
      <c r="R29" s="7"/>
      <c r="S29" s="7"/>
      <c r="T29" s="7"/>
      <c r="U29" s="7"/>
      <c r="V29" s="7"/>
    </row>
    <row r="30" spans="1:22">
      <c r="A30" s="6">
        <v>30</v>
      </c>
      <c r="B30" s="7">
        <v>750</v>
      </c>
      <c r="C30" s="7">
        <v>762</v>
      </c>
      <c r="D30" s="10" t="s">
        <v>716</v>
      </c>
      <c r="E30" s="7">
        <v>7.92</v>
      </c>
      <c r="F30" s="7">
        <v>12.7</v>
      </c>
      <c r="G30" s="7">
        <v>15.88</v>
      </c>
      <c r="H30" s="7"/>
      <c r="I30" s="7"/>
      <c r="J30" s="7"/>
      <c r="K30" s="7"/>
      <c r="L30" s="7"/>
      <c r="M30" s="7"/>
      <c r="N30" s="7"/>
      <c r="O30" s="7">
        <v>9.53</v>
      </c>
      <c r="P30" s="7">
        <v>12.7</v>
      </c>
      <c r="Q30" s="7"/>
      <c r="R30" s="7"/>
      <c r="S30" s="7">
        <v>7.92</v>
      </c>
      <c r="T30" s="7"/>
      <c r="U30" s="7"/>
      <c r="V30" s="7"/>
    </row>
    <row r="31" spans="1:22">
      <c r="A31" s="6">
        <v>32</v>
      </c>
      <c r="B31" s="7">
        <v>800</v>
      </c>
      <c r="C31" s="7">
        <v>813</v>
      </c>
      <c r="D31" s="10">
        <v>820</v>
      </c>
      <c r="E31" s="7">
        <v>7.92</v>
      </c>
      <c r="F31" s="7">
        <v>12.7</v>
      </c>
      <c r="G31" s="7">
        <v>15.88</v>
      </c>
      <c r="H31" s="7">
        <v>17.48</v>
      </c>
      <c r="I31" s="7"/>
      <c r="J31" s="7"/>
      <c r="K31" s="7"/>
      <c r="L31" s="7"/>
      <c r="M31" s="7"/>
      <c r="N31" s="7"/>
      <c r="O31" s="7">
        <v>9.53</v>
      </c>
      <c r="P31" s="7">
        <v>12.7</v>
      </c>
      <c r="Q31" s="7"/>
      <c r="R31" s="7"/>
      <c r="S31" s="7"/>
      <c r="T31" s="7"/>
      <c r="U31" s="7"/>
      <c r="V31" s="7"/>
    </row>
    <row r="32" spans="1:22">
      <c r="A32" s="6">
        <v>34</v>
      </c>
      <c r="B32" s="7">
        <v>850</v>
      </c>
      <c r="C32" s="7">
        <v>864</v>
      </c>
      <c r="D32" s="10" t="s">
        <v>716</v>
      </c>
      <c r="E32" s="7">
        <v>7.92</v>
      </c>
      <c r="F32" s="7">
        <v>12.7</v>
      </c>
      <c r="G32" s="7">
        <v>15.88</v>
      </c>
      <c r="H32" s="7">
        <v>17.48</v>
      </c>
      <c r="I32" s="7"/>
      <c r="J32" s="7"/>
      <c r="K32" s="7"/>
      <c r="L32" s="7"/>
      <c r="M32" s="7"/>
      <c r="N32" s="7"/>
      <c r="O32" s="7">
        <v>9.53</v>
      </c>
      <c r="P32" s="7">
        <v>12.7</v>
      </c>
      <c r="Q32" s="7"/>
      <c r="R32" s="7"/>
      <c r="S32" s="7"/>
      <c r="T32" s="7"/>
      <c r="U32" s="7"/>
      <c r="V32" s="7"/>
    </row>
    <row r="33" spans="1:22">
      <c r="A33" s="6">
        <v>36</v>
      </c>
      <c r="B33" s="7">
        <v>900</v>
      </c>
      <c r="C33" s="7">
        <v>914</v>
      </c>
      <c r="D33" s="10">
        <v>920</v>
      </c>
      <c r="E33" s="7">
        <v>7.92</v>
      </c>
      <c r="F33" s="7">
        <v>12.7</v>
      </c>
      <c r="G33" s="7">
        <v>15.88</v>
      </c>
      <c r="H33" s="7">
        <v>19.05</v>
      </c>
      <c r="I33" s="7"/>
      <c r="J33" s="7"/>
      <c r="K33" s="7"/>
      <c r="L33" s="7"/>
      <c r="M33" s="7"/>
      <c r="N33" s="7"/>
      <c r="O33" s="7">
        <v>9.53</v>
      </c>
      <c r="P33" s="7">
        <v>12.7</v>
      </c>
      <c r="Q33" s="7"/>
      <c r="R33" s="7"/>
      <c r="S33" s="7"/>
      <c r="T33" s="7"/>
      <c r="U33" s="7"/>
      <c r="V33" s="7"/>
    </row>
    <row r="34" spans="1:22">
      <c r="A34" s="6">
        <v>38</v>
      </c>
      <c r="B34" s="7">
        <v>950</v>
      </c>
      <c r="C34" s="7">
        <v>965</v>
      </c>
      <c r="D34" s="10" t="s">
        <v>716</v>
      </c>
      <c r="E34" s="7"/>
      <c r="F34" s="7"/>
      <c r="G34" s="7"/>
      <c r="H34" s="7"/>
      <c r="I34" s="7"/>
      <c r="J34" s="7"/>
      <c r="K34" s="7"/>
      <c r="L34" s="7"/>
      <c r="M34" s="7"/>
      <c r="N34" s="7"/>
      <c r="O34" s="7">
        <v>9.53</v>
      </c>
      <c r="P34" s="7">
        <v>12.7</v>
      </c>
      <c r="Q34" s="7"/>
      <c r="R34" s="7"/>
      <c r="S34" s="7"/>
      <c r="T34" s="7"/>
      <c r="U34" s="7"/>
      <c r="V34" s="7"/>
    </row>
    <row r="35" spans="1:22">
      <c r="A35" s="6">
        <v>40</v>
      </c>
      <c r="B35" s="7">
        <v>1000</v>
      </c>
      <c r="C35" s="7">
        <v>1016</v>
      </c>
      <c r="D35" s="10">
        <v>1020</v>
      </c>
      <c r="E35" s="7"/>
      <c r="F35" s="7"/>
      <c r="G35" s="7"/>
      <c r="H35" s="7"/>
      <c r="I35" s="7"/>
      <c r="J35" s="7"/>
      <c r="K35" s="7"/>
      <c r="L35" s="7"/>
      <c r="M35" s="7"/>
      <c r="N35" s="7"/>
      <c r="O35" s="7">
        <v>9.53</v>
      </c>
      <c r="P35" s="7">
        <v>12.7</v>
      </c>
      <c r="Q35" s="7"/>
      <c r="R35" s="7"/>
      <c r="S35" s="7"/>
      <c r="T35" s="7"/>
      <c r="U35" s="7"/>
      <c r="V35" s="7"/>
    </row>
    <row r="36" spans="1:22">
      <c r="A36" s="6">
        <v>42</v>
      </c>
      <c r="B36" s="7">
        <v>1050</v>
      </c>
      <c r="C36" s="7">
        <v>1067</v>
      </c>
      <c r="D36" s="10" t="s">
        <v>716</v>
      </c>
      <c r="E36" s="7"/>
      <c r="F36" s="7"/>
      <c r="G36" s="7"/>
      <c r="H36" s="7"/>
      <c r="I36" s="7"/>
      <c r="J36" s="7"/>
      <c r="K36" s="7"/>
      <c r="L36" s="7"/>
      <c r="M36" s="7"/>
      <c r="N36" s="7"/>
      <c r="O36" s="7">
        <v>9.53</v>
      </c>
      <c r="P36" s="7">
        <v>12.7</v>
      </c>
      <c r="Q36" s="7"/>
      <c r="R36" s="7"/>
      <c r="S36" s="7"/>
      <c r="T36" s="7"/>
      <c r="U36" s="7"/>
      <c r="V36" s="7"/>
    </row>
    <row r="37" spans="1:22">
      <c r="A37" s="6">
        <v>44</v>
      </c>
      <c r="B37" s="7">
        <v>1100</v>
      </c>
      <c r="C37" s="7">
        <v>1118</v>
      </c>
      <c r="D37" s="10">
        <v>1120</v>
      </c>
      <c r="E37" s="7"/>
      <c r="F37" s="7"/>
      <c r="G37" s="7"/>
      <c r="H37" s="7"/>
      <c r="I37" s="7"/>
      <c r="J37" s="7"/>
      <c r="K37" s="7"/>
      <c r="L37" s="7"/>
      <c r="M37" s="7"/>
      <c r="N37" s="7"/>
      <c r="O37" s="7">
        <v>9.53</v>
      </c>
      <c r="P37" s="7"/>
      <c r="Q37" s="7"/>
      <c r="R37" s="7"/>
      <c r="S37" s="7"/>
      <c r="T37" s="7"/>
      <c r="U37" s="7"/>
      <c r="V37" s="7"/>
    </row>
    <row r="38" spans="1:22">
      <c r="A38" s="6">
        <v>46</v>
      </c>
      <c r="B38" s="7">
        <v>1150</v>
      </c>
      <c r="C38" s="7">
        <v>1168</v>
      </c>
      <c r="D38" s="10" t="s">
        <v>716</v>
      </c>
      <c r="E38" s="7"/>
      <c r="F38" s="7"/>
      <c r="G38" s="7"/>
      <c r="H38" s="7"/>
      <c r="I38" s="7"/>
      <c r="J38" s="7"/>
      <c r="K38" s="7"/>
      <c r="L38" s="7"/>
      <c r="M38" s="7"/>
      <c r="N38" s="7"/>
      <c r="O38" s="7"/>
      <c r="P38" s="7"/>
      <c r="Q38" s="7"/>
      <c r="R38" s="7"/>
      <c r="S38" s="7"/>
      <c r="T38" s="7"/>
      <c r="U38" s="7"/>
      <c r="V38" s="7"/>
    </row>
    <row r="39" spans="1:22">
      <c r="A39" s="6">
        <v>48</v>
      </c>
      <c r="B39" s="7">
        <v>1200</v>
      </c>
      <c r="C39" s="7">
        <v>1219</v>
      </c>
      <c r="D39" s="10">
        <v>1220</v>
      </c>
      <c r="E39" s="7"/>
      <c r="F39" s="7"/>
      <c r="G39" s="7"/>
      <c r="H39" s="7"/>
      <c r="I39" s="7"/>
      <c r="J39" s="7"/>
      <c r="K39" s="7"/>
      <c r="L39" s="7"/>
      <c r="M39" s="7"/>
      <c r="N39" s="7"/>
      <c r="O39" s="7"/>
      <c r="P39" s="7"/>
      <c r="Q39" s="7"/>
      <c r="R39" s="7"/>
      <c r="S39" s="7"/>
      <c r="T39" s="7"/>
      <c r="U39" s="7"/>
      <c r="V39" s="7"/>
    </row>
  </sheetData>
  <mergeCells count="4">
    <mergeCell ref="A1:V1"/>
    <mergeCell ref="A2:B2"/>
    <mergeCell ref="C2:D2"/>
    <mergeCell ref="E2:V2"/>
  </mergeCells>
  <pageMargins left="0.75" right="0.75" top="1" bottom="1" header="0.5" footer="0.5"/>
  <pageSetup paperSize="9" scale="40" orientation="portrait"/>
  <headerFooter/>
</worksheet>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6</vt:i4>
      </vt:variant>
    </vt:vector>
  </HeadingPairs>
  <TitlesOfParts>
    <vt:vector size="6" baseType="lpstr">
      <vt:lpstr>液体</vt:lpstr>
      <vt:lpstr>可压缩 (4)</vt:lpstr>
      <vt:lpstr>Kv计算</vt:lpstr>
      <vt:lpstr>气体噪音计算</vt:lpstr>
      <vt:lpstr>液体噪音计算</vt:lpstr>
      <vt:lpstr>管道规格表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未翠月</cp:lastModifiedBy>
  <dcterms:created xsi:type="dcterms:W3CDTF">2008-02-01T08:42:00Z</dcterms:created>
  <cp:lastPrinted>2021-05-27T03:00:00Z</cp:lastPrinted>
  <dcterms:modified xsi:type="dcterms:W3CDTF">2025-12-25T01:29:41Z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938029A4973A48539698516A93C9B801_13</vt:lpwstr>
  </property>
  <property fmtid="{D5CDD505-2E9C-101B-9397-08002B2CF9AE}" pid="3" name="KSOProductBuildVer">
    <vt:lpwstr>2052-12.1.0.24034</vt:lpwstr>
  </property>
  <property fmtid="{D5CDD505-2E9C-101B-9397-08002B2CF9AE}" pid="4" name="KSOReadingLayout">
    <vt:bool>false</vt:bool>
  </property>
  <property fmtid="{D5CDD505-2E9C-101B-9397-08002B2CF9AE}" pid="5" name="CalculationRule">
    <vt:i4>0</vt:i4>
  </property>
</Properties>
</file>